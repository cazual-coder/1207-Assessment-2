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ham\OneDrive\Documents\Unmessenger\Assignments\1207 Assessment 2\1207 Assessment 2\"/>
    </mc:Choice>
  </mc:AlternateContent>
  <xr:revisionPtr revIDLastSave="0" documentId="13_ncr:1_{36C1D727-E9FA-4667-8FA9-06825A5E4F53}" xr6:coauthVersionLast="47" xr6:coauthVersionMax="47" xr10:uidLastSave="{00000000-0000-0000-0000-000000000000}"/>
  <bookViews>
    <workbookView xWindow="-110" yWindow="-110" windowWidth="19420" windowHeight="10300" activeTab="1" xr2:uid="{6062794C-D024-45A6-BAC4-75B41AD6892C}"/>
  </bookViews>
  <sheets>
    <sheet name="Unmessenger" sheetId="1" r:id="rId1"/>
    <sheet name="final 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G16" i="1"/>
  <c r="F49" i="1"/>
  <c r="F42" i="1"/>
  <c r="F38" i="1"/>
  <c r="F35" i="1"/>
  <c r="F26" i="1"/>
  <c r="F21" i="1"/>
  <c r="F1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I8" i="1"/>
  <c r="I9" i="1"/>
  <c r="I10" i="1"/>
  <c r="I11" i="1"/>
  <c r="I12" i="1"/>
  <c r="I13" i="1"/>
  <c r="I14" i="1"/>
  <c r="I15" i="1"/>
  <c r="I16" i="1"/>
  <c r="I17" i="1"/>
  <c r="I18" i="1"/>
  <c r="I19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G8" i="1"/>
  <c r="G9" i="1"/>
  <c r="G10" i="1"/>
  <c r="G11" i="1"/>
  <c r="G12" i="1"/>
  <c r="G13" i="1"/>
  <c r="G14" i="1"/>
  <c r="G15" i="1"/>
  <c r="G17" i="1"/>
  <c r="G18" i="1"/>
  <c r="G19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</calcChain>
</file>

<file path=xl/sharedStrings.xml><?xml version="1.0" encoding="utf-8"?>
<sst xmlns="http://schemas.openxmlformats.org/spreadsheetml/2006/main" count="568" uniqueCount="168">
  <si>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</si>
  <si>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</si>
  <si>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</si>
  <si>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</si>
  <si>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</si>
  <si>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</si>
  <si>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</si>
  <si>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</si>
  <si>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</si>
  <si>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</si>
  <si>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</si>
  <si>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</si>
  <si>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</si>
  <si>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</si>
  <si>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</si>
  <si>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</si>
  <si>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</si>
  <si>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</si>
  <si>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</si>
  <si>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</si>
  <si>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</si>
  <si>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</si>
  <si>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</si>
  <si>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</si>
  <si>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</si>
  <si>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</si>
  <si>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</si>
  <si>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</si>
  <si>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</si>
  <si>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</si>
  <si>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</si>
  <si>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</si>
  <si>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</si>
  <si>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</si>
  <si>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</si>
  <si>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</si>
  <si>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</si>
  <si>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</si>
  <si>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</si>
  <si>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</si>
  <si>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</si>
  <si>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</si>
  <si>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</si>
  <si>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</si>
  <si>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</si>
  <si>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</si>
  <si>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</si>
  <si>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</si>
  <si>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</si>
  <si>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</si>
  <si>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</si>
  <si>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</si>
  <si>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</si>
  <si>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</si>
  <si>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</si>
  <si>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</si>
  <si>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</si>
  <si>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</si>
  <si>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</si>
  <si>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</si>
  <si>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</si>
  <si>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</si>
  <si>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</si>
  <si>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</si>
  <si>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</si>
  <si>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</si>
  <si>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</si>
  <si>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</si>
  <si>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</si>
  <si>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</si>
  <si>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</si>
  <si>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</si>
  <si>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</si>
  <si>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</si>
  <si>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</si>
  <si>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</si>
  <si>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</si>
  <si>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</si>
  <si>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</si>
  <si>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</si>
  <si>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</si>
  <si>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</si>
  <si>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</si>
  <si>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</si>
  <si>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</si>
  <si>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</si>
  <si>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</si>
  <si>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</si>
  <si>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</si>
  <si>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</si>
  <si>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</si>
  <si>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</si>
  <si>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</si>
  <si>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</si>
  <si>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</si>
  <si>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</si>
  <si>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</si>
  <si>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</si>
  <si>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</si>
  <si>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</si>
  <si>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</si>
  <si>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</si>
  <si>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</si>
  <si>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</si>
  <si>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</si>
  <si>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</si>
  <si>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</si>
  <si>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</si>
  <si>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</si>
  <si>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</si>
  <si>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</si>
  <si>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</si>
  <si>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</si>
  <si>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</si>
  <si>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</si>
  <si>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</si>
  <si>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</si>
  <si>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</si>
  <si>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</si>
  <si>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</si>
  <si>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</si>
  <si>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</si>
  <si>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</si>
  <si>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</si>
  <si>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</si>
  <si>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</si>
  <si>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</si>
  <si>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</si>
  <si>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</si>
  <si>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</si>
  <si>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</si>
  <si>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</si>
  <si>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</si>
  <si>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</si>
  <si>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</si>
  <si>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</si>
  <si>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</si>
  <si>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</si>
  <si>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</si>
  <si>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</si>
  <si>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</si>
  <si>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</si>
  <si>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</si>
  <si>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</si>
  <si>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</si>
  <si>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</si>
  <si>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Data Science</t>
  </si>
  <si>
    <t>91-6666666666</t>
  </si>
  <si>
    <t>Column1</t>
  </si>
  <si>
    <t>Column2</t>
  </si>
  <si>
    <t>Column3</t>
  </si>
  <si>
    <t>gaurav kumar</t>
  </si>
  <si>
    <t>jane doe</t>
  </si>
  <si>
    <t>Management</t>
  </si>
  <si>
    <t>Column4</t>
  </si>
  <si>
    <t>91-8888888888</t>
  </si>
  <si>
    <t>91-7777777777</t>
  </si>
  <si>
    <t>Column5</t>
  </si>
  <si>
    <t>Phone not Available</t>
  </si>
  <si>
    <t>Address not Available</t>
  </si>
  <si>
    <t>support@unmessenger.com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</si>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</sst>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" fontId="0" fillId="0" borderId="0" xfId="0" applyNumberFormat="1"/>
  </cellXfs>
  <cellStyles count="1">
    <cellStyle name="Normal" xfId="0" builtinId="0"/>
  </cellStyles>
  <dxfs count="35"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0</xdr:row>
      <xdr:rowOff>114300</xdr:rowOff>
    </xdr:from>
    <xdr:to>
      <xdr:col>13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R55" totalsRowShown="0" headerRowDxfId="34" dataDxfId="33">
  <autoFilter ref="E7:R55" xr:uid="{571E5664-3A18-422E-AB49-8BBF00D55019}"/>
  <tableColumns count="14">
    <tableColumn id="1" xr3:uid="{0F186AC9-7116-4750-8350-32E39657BDEF}" name="Id" dataDxfId="32"/>
    <tableColumn id="2" xr3:uid="{587ADADF-3A31-4671-AAB2-636A2204C2A1}" name="Name" dataDxfId="31"/>
    <tableColumn id="10" xr3:uid="{70D763CC-3BEB-4032-B793-B78FA0E42068}" name="Column1" dataDxfId="23">
      <calculatedColumnFormula>LEFT(Table1[[#This Row],[Email]],SEARCH(".",Table1[[#This Row],[Email]])-1)&amp;" "&amp; MID(Table1[[#This Row],[Email]],SEARCH(".",Table1[[#This Row],[Email]])+1,SEARCH("@",Table1[[#This Row],[Email]])-SEARCH(".",Table1[[#This Row],[Email]])-1)</calculatedColumnFormula>
    </tableColumn>
    <tableColumn id="3" xr3:uid="{D20B21E4-141B-4F80-B509-FFFDBDDDD7F4}" name="Age" dataDxfId="30"/>
    <tableColumn id="11" xr3:uid="{6DF8B164-B690-4AB1-930E-CA55B4FAB25A}" name="Column2" dataDxfId="22">
      <calculatedColumnFormula>IF(Table1[[#This Row],[Age]]="",AVERAGE(Table1[Age]),Table1[[#This Row],[Age]])</calculatedColumnFormula>
    </tableColumn>
    <tableColumn id="4" xr3:uid="{988050FD-7A13-4567-B7F1-B83DFF6C50D6}" name="Gender" dataDxfId="29"/>
    <tableColumn id="5" xr3:uid="{71DD8E56-AB70-41BA-BE06-62EA46C80DEC}" name="Department" dataDxfId="28"/>
    <tableColumn id="6" xr3:uid="{C20650CA-3DDE-4C63-83CA-462380F46BB4}" name="Email" dataDxfId="27"/>
    <tableColumn id="12" xr3:uid="{CB931665-45B1-4E7A-97C7-E488C23D8549}" name="Column3" dataDxfId="21">
      <calculatedColumnFormula>IF(Table1[[#This Row],[Email]]="","support@unmessenger.com",Table1[[#This Row],[Email]])</calculatedColumnFormula>
    </tableColumn>
    <tableColumn id="7" xr3:uid="{9F3F4B7E-0B29-4F47-944B-C89BC5596DA2}" name="Phone" dataDxfId="26"/>
    <tableColumn id="13" xr3:uid="{D230BE3D-D713-4621-8794-E7219BB1CF97}" name="Column4" dataDxfId="19">
      <calculatedColumnFormula>IF(Table1[[#This Row],[Phone]]="","Phone not Available",Table1[[#This Row],[Phone]])</calculatedColumnFormula>
    </tableColumn>
    <tableColumn id="8" xr3:uid="{9894F713-829B-4BE3-B5D2-22F23DA72823}" name="Address" dataDxfId="25"/>
    <tableColumn id="14" xr3:uid="{E6A227C5-D84F-444C-9454-5883F571D154}" name="Column5" dataDxfId="20">
      <calculatedColumnFormula>IF(Table1[[#This Row],[Address]]="","Address not Available",Table1[[#This Row],[Address]])</calculatedColumnFormula>
    </tableColumn>
    <tableColumn id="9" xr3:uid="{69CDA7D3-FED4-49AB-9173-918B9E817F84}" name="Salary" dataDxfId="24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R55"/>
  <sheetViews>
    <sheetView topLeftCell="E24" zoomScale="61" workbookViewId="0">
      <selection activeCell="R7" sqref="E7:R55"/>
    </sheetView>
  </sheetViews>
  <sheetFormatPr defaultRowHeight="14.5" x14ac:dyDescent="0.35"/>
  <cols>
    <col min="5" max="5" width="2.81640625" bestFit="1" customWidth="1"/>
    <col min="6" max="6" width="13.1796875" bestFit="1" customWidth="1"/>
    <col min="7" max="7" width="14.90625" customWidth="1"/>
    <col min="8" max="8" width="3.90625" bestFit="1" customWidth="1"/>
    <col min="9" max="9" width="3.90625" customWidth="1"/>
    <col min="10" max="10" width="6.54296875" bestFit="1" customWidth="1"/>
    <col min="11" max="11" width="15.6328125" bestFit="1" customWidth="1"/>
    <col min="12" max="12" width="25.6328125" bestFit="1" customWidth="1"/>
    <col min="13" max="13" width="25.6328125" customWidth="1"/>
    <col min="14" max="14" width="13.54296875" bestFit="1" customWidth="1"/>
    <col min="15" max="15" width="18" bestFit="1" customWidth="1"/>
    <col min="16" max="16" width="37.453125" bestFit="1" customWidth="1"/>
    <col min="17" max="17" width="37.453125" customWidth="1"/>
    <col min="18" max="18" width="5.81640625" bestFit="1" customWidth="1"/>
  </cols>
  <sheetData>
    <row r="7" spans="5:18" x14ac:dyDescent="0.35">
      <c r="E7" s="1" t="s">
        <v>1</v>
      </c>
      <c r="F7" s="1" t="s">
        <v>0</v>
      </c>
      <c r="G7" s="1" t="s">
        <v>148</v>
      </c>
      <c r="H7" s="1" t="s">
        <v>2</v>
      </c>
      <c r="I7" s="1" t="s">
        <v>149</v>
      </c>
      <c r="J7" s="1" t="s">
        <v>3</v>
      </c>
      <c r="K7" s="1" t="s">
        <v>140</v>
      </c>
      <c r="L7" s="1" t="s">
        <v>4</v>
      </c>
      <c r="M7" s="1" t="s">
        <v>150</v>
      </c>
      <c r="N7" s="1" t="s">
        <v>5</v>
      </c>
      <c r="O7" t="s">
        <v>154</v>
      </c>
      <c r="P7" s="1" t="s">
        <v>6</v>
      </c>
      <c r="Q7" s="1" t="s">
        <v>157</v>
      </c>
      <c r="R7" s="1" t="s">
        <v>134</v>
      </c>
    </row>
    <row r="8" spans="5:18" x14ac:dyDescent="0.35">
      <c r="E8">
        <v>1</v>
      </c>
      <c r="F8" t="s">
        <v>33</v>
      </c>
      <c r="G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john doe</v>
      </c>
      <c r="H8">
        <v>32</v>
      </c>
      <c r="I8">
        <f>IF(Table1[[#This Row],[Age]]="",AVERAGE(Table1[Age]),Table1[[#This Row],[Age]])</f>
        <v>32</v>
      </c>
      <c r="J8" t="s">
        <v>8</v>
      </c>
      <c r="K8" t="s">
        <v>142</v>
      </c>
      <c r="L8" t="s">
        <v>34</v>
      </c>
      <c r="M8" t="str">
        <f>IF(Table1[[#This Row],[Email]]="","support@unmessenger.com",Table1[[#This Row],[Email]])</f>
        <v>john.doe@gmail.com</v>
      </c>
      <c r="N8" t="s">
        <v>135</v>
      </c>
      <c r="O8" t="str">
        <f>IF(Table1[[#This Row],[Phone]]="","Phone not Available",Table1[[#This Row],[Phone]])</f>
        <v>91-1234567890</v>
      </c>
      <c r="P8" t="s">
        <v>35</v>
      </c>
      <c r="Q8" t="str">
        <f>IF(Table1[[#This Row],[Address]]="","Address not Available",Table1[[#This Row],[Address]])</f>
        <v>123 Main St, Bangalore, Karnataka, India</v>
      </c>
      <c r="R8">
        <v>4553</v>
      </c>
    </row>
    <row r="9" spans="5:18" x14ac:dyDescent="0.35">
      <c r="E9">
        <v>2</v>
      </c>
      <c r="F9" t="s">
        <v>36</v>
      </c>
      <c r="G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jane smith</v>
      </c>
      <c r="H9">
        <v>28</v>
      </c>
      <c r="I9">
        <f>IF(Table1[[#This Row],[Age]]="",AVERAGE(Table1[Age]),Table1[[#This Row],[Age]])</f>
        <v>28</v>
      </c>
      <c r="J9" t="s">
        <v>12</v>
      </c>
      <c r="K9" t="s">
        <v>143</v>
      </c>
      <c r="L9" t="s">
        <v>37</v>
      </c>
      <c r="M9" t="str">
        <f>IF(Table1[[#This Row],[Email]]="","support@unmessenger.com",Table1[[#This Row],[Email]])</f>
        <v>jane.smith@hotmail.com</v>
      </c>
      <c r="N9" t="s">
        <v>136</v>
      </c>
      <c r="O9" t="str">
        <f>IF(Table1[[#This Row],[Phone]]="","Phone not Available",Table1[[#This Row],[Phone]])</f>
        <v>91-9876543210</v>
      </c>
      <c r="P9" t="s">
        <v>38</v>
      </c>
      <c r="Q9" t="str">
        <f>IF(Table1[[#This Row],[Address]]="","Address not Available",Table1[[#This Row],[Address]])</f>
        <v>456 Park Ave, Mumbai, Maharashtra, India</v>
      </c>
      <c r="R9">
        <v>31169</v>
      </c>
    </row>
    <row r="10" spans="5:18" x14ac:dyDescent="0.35">
      <c r="E10">
        <v>3</v>
      </c>
      <c r="F10" t="s">
        <v>39</v>
      </c>
      <c r="G1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amit patel</v>
      </c>
      <c r="H10">
        <v>27</v>
      </c>
      <c r="I10">
        <f>IF(Table1[[#This Row],[Age]]="",AVERAGE(Table1[Age]),Table1[[#This Row],[Age]])</f>
        <v>27</v>
      </c>
      <c r="J10" t="s">
        <v>8</v>
      </c>
      <c r="K10" t="s">
        <v>143</v>
      </c>
      <c r="L10" t="s">
        <v>40</v>
      </c>
      <c r="M10" t="str">
        <f>IF(Table1[[#This Row],[Email]]="","support@unmessenger.com",Table1[[#This Row],[Email]])</f>
        <v>amit.patel@gmail.com</v>
      </c>
      <c r="N10" t="s">
        <v>137</v>
      </c>
      <c r="O10" t="str">
        <f>IF(Table1[[#This Row],[Phone]]="","Phone not Available",Table1[[#This Row],[Phone]])</f>
        <v>91-8765432109</v>
      </c>
      <c r="P10" t="s">
        <v>41</v>
      </c>
      <c r="Q10" t="str">
        <f>IF(Table1[[#This Row],[Address]]="","Address not Available",Table1[[#This Row],[Address]])</f>
        <v>789 3rd St, Kolkata, West Bengal, India</v>
      </c>
      <c r="R10">
        <v>11116</v>
      </c>
    </row>
    <row r="11" spans="5:18" x14ac:dyDescent="0.35">
      <c r="E11">
        <v>4</v>
      </c>
      <c r="F11" t="s">
        <v>42</v>
      </c>
      <c r="G1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priya sharma</v>
      </c>
      <c r="H11">
        <v>33</v>
      </c>
      <c r="I11">
        <f>IF(Table1[[#This Row],[Age]]="",AVERAGE(Table1[Age]),Table1[[#This Row],[Age]])</f>
        <v>33</v>
      </c>
      <c r="J11" t="s">
        <v>12</v>
      </c>
      <c r="K11" t="s">
        <v>141</v>
      </c>
      <c r="L11" t="s">
        <v>43</v>
      </c>
      <c r="M11" t="str">
        <f>IF(Table1[[#This Row],[Email]]="","support@unmessenger.com",Table1[[#This Row],[Email]])</f>
        <v>priya.sharma@yahoo.com</v>
      </c>
      <c r="N11" t="s">
        <v>138</v>
      </c>
      <c r="O11" t="str">
        <f>IF(Table1[[#This Row],[Phone]]="","Phone not Available",Table1[[#This Row],[Phone]])</f>
        <v>91-5555555555</v>
      </c>
      <c r="P11" t="s">
        <v>44</v>
      </c>
      <c r="Q11" t="str">
        <f>IF(Table1[[#This Row],[Address]]="","Address not Available",Table1[[#This Row],[Address]])</f>
        <v>12 4th St, New Delhi, Delhi, India</v>
      </c>
      <c r="R11">
        <v>33457</v>
      </c>
    </row>
    <row r="12" spans="5:18" x14ac:dyDescent="0.35">
      <c r="E12">
        <v>5</v>
      </c>
      <c r="F12" t="s">
        <v>152</v>
      </c>
      <c r="G1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jane doe</v>
      </c>
      <c r="H12">
        <v>29</v>
      </c>
      <c r="I12">
        <f>IF(Table1[[#This Row],[Age]]="",AVERAGE(Table1[Age]),Table1[[#This Row],[Age]])</f>
        <v>29</v>
      </c>
      <c r="J12" t="s">
        <v>12</v>
      </c>
      <c r="K12" t="s">
        <v>141</v>
      </c>
      <c r="L12" t="s">
        <v>45</v>
      </c>
      <c r="M12" t="str">
        <f>IF(Table1[[#This Row],[Email]]="","support@unmessenger.com",Table1[[#This Row],[Email]])</f>
        <v>jane.doe@gmail.com</v>
      </c>
      <c r="O12" t="str">
        <f>IF(Table1[[#This Row],[Phone]]="","Phone not Available",Table1[[#This Row],[Phone]])</f>
        <v>Phone not Available</v>
      </c>
      <c r="Q12" t="str">
        <f>IF(Table1[[#This Row],[Address]]="","Address not Available",Table1[[#This Row],[Address]])</f>
        <v>Address not Available</v>
      </c>
      <c r="R12">
        <v>21918</v>
      </c>
    </row>
    <row r="13" spans="5:18" x14ac:dyDescent="0.35">
      <c r="E13">
        <v>6</v>
      </c>
      <c r="F13" t="s">
        <v>46</v>
      </c>
      <c r="G1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rakesh kumar</v>
      </c>
      <c r="H13">
        <v>34</v>
      </c>
      <c r="I13">
        <f>IF(Table1[[#This Row],[Age]]="",AVERAGE(Table1[Age]),Table1[[#This Row],[Age]])</f>
        <v>34</v>
      </c>
      <c r="J13" t="s">
        <v>8</v>
      </c>
      <c r="K13" t="s">
        <v>146</v>
      </c>
      <c r="L13" t="s">
        <v>47</v>
      </c>
      <c r="M13" t="str">
        <f>IF(Table1[[#This Row],[Email]]="","support@unmessenger.com",Table1[[#This Row],[Email]])</f>
        <v>rakesh.kumar@yahoo.com</v>
      </c>
      <c r="O13" t="str">
        <f>IF(Table1[[#This Row],[Phone]]="","Phone not Available",Table1[[#This Row],[Phone]])</f>
        <v>Phone not Available</v>
      </c>
      <c r="P13" t="s">
        <v>48</v>
      </c>
      <c r="Q13" t="str">
        <f>IF(Table1[[#This Row],[Address]]="","Address not Available",Table1[[#This Row],[Address]])</f>
        <v>345 5th St, Jaipur, Rajasthan, India</v>
      </c>
      <c r="R13">
        <v>33418</v>
      </c>
    </row>
    <row r="14" spans="5:18" x14ac:dyDescent="0.35">
      <c r="E14">
        <v>7</v>
      </c>
      <c r="F14" t="s">
        <v>49</v>
      </c>
      <c r="G14" t="e">
        <f>LEFT(Table1[[#This Row],[Email]],SEARCH(".",Table1[[#This Row],[Email]])-1)&amp;" "&amp; MID(Table1[[#This Row],[Email]],SEARCH(".",Table1[[#This Row],[Email]])+1,SEARCH("@",Table1[[#This Row],[Email]])-SEARCH(".",Table1[[#This Row],[Email]])-1)</f>
        <v>#VALUE!</v>
      </c>
      <c r="H14">
        <v>25</v>
      </c>
      <c r="I14">
        <f>IF(Table1[[#This Row],[Age]]="",AVERAGE(Table1[Age]),Table1[[#This Row],[Age]])</f>
        <v>25</v>
      </c>
      <c r="J14" t="s">
        <v>12</v>
      </c>
      <c r="K14" t="s">
        <v>143</v>
      </c>
      <c r="M14" t="str">
        <f>IF(Table1[[#This Row],[Email]]="","support@unmessenger.com",Table1[[#This Row],[Email]])</f>
        <v>support@unmessenger.com</v>
      </c>
      <c r="N14" t="s">
        <v>139</v>
      </c>
      <c r="O14" t="str">
        <f>IF(Table1[[#This Row],[Phone]]="","Phone not Available",Table1[[#This Row],[Phone]])</f>
        <v>91-9999999999</v>
      </c>
      <c r="P14" t="s">
        <v>50</v>
      </c>
      <c r="Q14" t="str">
        <f>IF(Table1[[#This Row],[Address]]="","Address not Available",Table1[[#This Row],[Address]])</f>
        <v>678 6th St, Chennai, Tamil Nadu, India</v>
      </c>
      <c r="R14">
        <v>45828</v>
      </c>
    </row>
    <row r="15" spans="5:18" x14ac:dyDescent="0.35">
      <c r="E15">
        <v>8</v>
      </c>
      <c r="F15" t="s">
        <v>51</v>
      </c>
      <c r="G1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aman verma</v>
      </c>
      <c r="H15">
        <v>31</v>
      </c>
      <c r="I15">
        <f>IF(Table1[[#This Row],[Age]]="",AVERAGE(Table1[Age]),Table1[[#This Row],[Age]])</f>
        <v>31</v>
      </c>
      <c r="J15" t="s">
        <v>8</v>
      </c>
      <c r="K15" t="s">
        <v>141</v>
      </c>
      <c r="L15" t="s">
        <v>52</v>
      </c>
      <c r="M15" t="str">
        <f>IF(Table1[[#This Row],[Email]]="","support@unmessenger.com",Table1[[#This Row],[Email]])</f>
        <v>aman.verma@gmail.com</v>
      </c>
      <c r="N15" t="s">
        <v>155</v>
      </c>
      <c r="O15" t="str">
        <f>IF(Table1[[#This Row],[Phone]]="","Phone not Available",Table1[[#This Row],[Phone]])</f>
        <v>91-8888888888</v>
      </c>
      <c r="Q15" t="str">
        <f>IF(Table1[[#This Row],[Address]]="","Address not Available",Table1[[#This Row],[Address]])</f>
        <v>Address not Available</v>
      </c>
      <c r="R15">
        <v>45450</v>
      </c>
    </row>
    <row r="16" spans="5:18" x14ac:dyDescent="0.35">
      <c r="E16">
        <v>9</v>
      </c>
      <c r="F16" t="s">
        <v>53</v>
      </c>
      <c r="G1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neha gupta</v>
      </c>
      <c r="H16">
        <v>27</v>
      </c>
      <c r="I16">
        <f>IF(Table1[[#This Row],[Age]]="",AVERAGE(Table1[Age]),Table1[[#This Row],[Age]])</f>
        <v>27</v>
      </c>
      <c r="J16" t="s">
        <v>12</v>
      </c>
      <c r="K16" t="s">
        <v>141</v>
      </c>
      <c r="L16" t="s">
        <v>54</v>
      </c>
      <c r="M16" t="str">
        <f>IF(Table1[[#This Row],[Email]]="","support@unmessenger.com",Table1[[#This Row],[Email]])</f>
        <v>neha.gupta@hotmail.com</v>
      </c>
      <c r="N16" t="s">
        <v>156</v>
      </c>
      <c r="O16" t="str">
        <f>IF(Table1[[#This Row],[Phone]]="","Phone not Available",Table1[[#This Row],[Phone]])</f>
        <v>91-7777777777</v>
      </c>
      <c r="P16" t="s">
        <v>55</v>
      </c>
      <c r="Q16" t="str">
        <f>IF(Table1[[#This Row],[Address]]="","Address not Available",Table1[[#This Row],[Address]])</f>
        <v>901 7th St, Hyderabad, Telangana, India</v>
      </c>
      <c r="R16">
        <v>49938</v>
      </c>
    </row>
    <row r="17" spans="5:18" x14ac:dyDescent="0.35">
      <c r="E17">
        <v>10</v>
      </c>
      <c r="F1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naveen sharma</v>
      </c>
      <c r="G1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naveen sharma</v>
      </c>
      <c r="H17">
        <v>35</v>
      </c>
      <c r="I17">
        <f>IF(Table1[[#This Row],[Age]]="",AVERAGE(Table1[Age]),Table1[[#This Row],[Age]])</f>
        <v>35</v>
      </c>
      <c r="J17" t="s">
        <v>8</v>
      </c>
      <c r="K17" t="s">
        <v>142</v>
      </c>
      <c r="L17" t="s">
        <v>56</v>
      </c>
      <c r="M17" t="str">
        <f>IF(Table1[[#This Row],[Email]]="","support@unmessenger.com",Table1[[#This Row],[Email]])</f>
        <v>naveen.sharma@gmail.com</v>
      </c>
      <c r="O17" t="str">
        <f>IF(Table1[[#This Row],[Phone]]="","Phone not Available",Table1[[#This Row],[Phone]])</f>
        <v>Phone not Available</v>
      </c>
      <c r="P17" t="s">
        <v>57</v>
      </c>
      <c r="Q17" t="str">
        <f>IF(Table1[[#This Row],[Address]]="","Address not Available",Table1[[#This Row],[Address]])</f>
        <v>234 8th St, Pune, Maharashtra, India</v>
      </c>
      <c r="R17">
        <v>9818</v>
      </c>
    </row>
    <row r="18" spans="5:18" x14ac:dyDescent="0.35">
      <c r="E18">
        <v>11</v>
      </c>
      <c r="F18" t="s">
        <v>58</v>
      </c>
      <c r="G1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vinita kapoor</v>
      </c>
      <c r="I18">
        <f>IF(Table1[[#This Row],[Age]]="",AVERAGE(Table1[Age]),Table1[[#This Row],[Age]])</f>
        <v>29.636363636363637</v>
      </c>
      <c r="J18" t="s">
        <v>12</v>
      </c>
      <c r="K18" t="s">
        <v>143</v>
      </c>
      <c r="L18" t="s">
        <v>59</v>
      </c>
      <c r="M18" t="str">
        <f>IF(Table1[[#This Row],[Email]]="","support@unmessenger.com",Table1[[#This Row],[Email]])</f>
        <v>vinita.kapoor@yahoo.com</v>
      </c>
      <c r="N18" t="s">
        <v>147</v>
      </c>
      <c r="O18" t="str">
        <f>IF(Table1[[#This Row],[Phone]]="","Phone not Available",Table1[[#This Row],[Phone]])</f>
        <v>91-6666666666</v>
      </c>
      <c r="P18" t="s">
        <v>60</v>
      </c>
      <c r="Q18" t="str">
        <f>IF(Table1[[#This Row],[Address]]="","Address not Available",Table1[[#This Row],[Address]])</f>
        <v>567 9th St, Ahmedabad, Gujarat, India</v>
      </c>
      <c r="R18">
        <v>41836</v>
      </c>
    </row>
    <row r="19" spans="5:18" x14ac:dyDescent="0.35">
      <c r="E19">
        <v>12</v>
      </c>
      <c r="F19" t="s">
        <v>61</v>
      </c>
      <c r="G1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rajeev kumar</v>
      </c>
      <c r="H19">
        <v>29</v>
      </c>
      <c r="I19">
        <f>IF(Table1[[#This Row],[Age]]="",AVERAGE(Table1[Age]),Table1[[#This Row],[Age]])</f>
        <v>29</v>
      </c>
      <c r="J19" t="s">
        <v>8</v>
      </c>
      <c r="K19" t="s">
        <v>143</v>
      </c>
      <c r="L19" t="s">
        <v>62</v>
      </c>
      <c r="M19" t="str">
        <f>IF(Table1[[#This Row],[Email]]="","support@unmessenger.com",Table1[[#This Row],[Email]])</f>
        <v>rajeev.kumar@hotmail.com</v>
      </c>
      <c r="N19" t="s">
        <v>138</v>
      </c>
      <c r="O19" t="str">
        <f>IF(Table1[[#This Row],[Phone]]="","Phone not Available",Table1[[#This Row],[Phone]])</f>
        <v>91-5555555555</v>
      </c>
      <c r="P19" t="s">
        <v>63</v>
      </c>
      <c r="Q19" t="str">
        <f>IF(Table1[[#This Row],[Address]]="","Address not Available",Table1[[#This Row],[Address]])</f>
        <v>789 10th St, Bangalore, Karnataka, India</v>
      </c>
      <c r="R19">
        <v>11901</v>
      </c>
    </row>
    <row r="20" spans="5:18" x14ac:dyDescent="0.35">
      <c r="E20">
        <v>14</v>
      </c>
      <c r="F20" t="s">
        <v>64</v>
      </c>
      <c r="G2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swati singh</v>
      </c>
      <c r="H20">
        <v>28</v>
      </c>
      <c r="I20">
        <f>IF(Table1[[#This Row],[Age]]="",AVERAGE(Table1[Age]),Table1[[#This Row],[Age]])</f>
        <v>28</v>
      </c>
      <c r="J20" t="s">
        <v>12</v>
      </c>
      <c r="K20" t="s">
        <v>144</v>
      </c>
      <c r="L20" t="s">
        <v>65</v>
      </c>
      <c r="M20" t="str">
        <f>IF(Table1[[#This Row],[Email]]="","support@unmessenger.com",Table1[[#This Row],[Email]])</f>
        <v>swati.singh@gmail.com</v>
      </c>
      <c r="O20" t="str">
        <f>IF(Table1[[#This Row],[Phone]]="","Phone not Available",Table1[[#This Row],[Phone]])</f>
        <v>Phone not Available</v>
      </c>
      <c r="P20" t="s">
        <v>66</v>
      </c>
      <c r="Q20" t="str">
        <f>IF(Table1[[#This Row],[Address]]="","Address not Available",Table1[[#This Row],[Address]])</f>
        <v>654 12th St, Kolkata, West Bengal, India</v>
      </c>
      <c r="R20">
        <v>21978</v>
      </c>
    </row>
    <row r="21" spans="5:18" x14ac:dyDescent="0.35">
      <c r="E21">
        <v>15</v>
      </c>
      <c r="F2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kavita sharma</v>
      </c>
      <c r="G2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kavita sharma</v>
      </c>
      <c r="H21">
        <v>30</v>
      </c>
      <c r="I21">
        <f>IF(Table1[[#This Row],[Age]]="",AVERAGE(Table1[Age]),Table1[[#This Row],[Age]])</f>
        <v>30</v>
      </c>
      <c r="J21" t="s">
        <v>12</v>
      </c>
      <c r="K21" t="s">
        <v>145</v>
      </c>
      <c r="L21" t="s">
        <v>67</v>
      </c>
      <c r="M21" t="str">
        <f>IF(Table1[[#This Row],[Email]]="","support@unmessenger.com",Table1[[#This Row],[Email]])</f>
        <v>kavita.sharma@yahoo.com</v>
      </c>
      <c r="N21" t="s">
        <v>155</v>
      </c>
      <c r="O21" t="str">
        <f>IF(Table1[[#This Row],[Phone]]="","Phone not Available",Table1[[#This Row],[Phone]])</f>
        <v>91-8888888888</v>
      </c>
      <c r="Q21" t="str">
        <f>IF(Table1[[#This Row],[Address]]="","Address not Available",Table1[[#This Row],[Address]])</f>
        <v>Address not Available</v>
      </c>
      <c r="R21">
        <v>49400</v>
      </c>
    </row>
    <row r="22" spans="5:18" x14ac:dyDescent="0.35">
      <c r="E22">
        <v>16</v>
      </c>
      <c r="F22" t="s">
        <v>68</v>
      </c>
      <c r="G2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manish patel</v>
      </c>
      <c r="H22">
        <v>32</v>
      </c>
      <c r="I22">
        <f>IF(Table1[[#This Row],[Age]]="",AVERAGE(Table1[Age]),Table1[[#This Row],[Age]])</f>
        <v>32</v>
      </c>
      <c r="J22" t="s">
        <v>8</v>
      </c>
      <c r="K22" t="s">
        <v>153</v>
      </c>
      <c r="L22" t="s">
        <v>69</v>
      </c>
      <c r="M22" t="str">
        <f>IF(Table1[[#This Row],[Email]]="","support@unmessenger.com",Table1[[#This Row],[Email]])</f>
        <v>manish.patel@hotmail.com</v>
      </c>
      <c r="N22" t="s">
        <v>135</v>
      </c>
      <c r="O22" t="str">
        <f>IF(Table1[[#This Row],[Phone]]="","Phone not Available",Table1[[#This Row],[Phone]])</f>
        <v>91-1234567890</v>
      </c>
      <c r="P22" t="s">
        <v>70</v>
      </c>
      <c r="Q22" t="str">
        <f>IF(Table1[[#This Row],[Address]]="","Address not Available",Table1[[#This Row],[Address]])</f>
        <v>987 13th St, New Delhi, Delhi, India</v>
      </c>
      <c r="R22">
        <v>28476</v>
      </c>
    </row>
    <row r="23" spans="5:18" x14ac:dyDescent="0.35">
      <c r="E23">
        <v>17</v>
      </c>
      <c r="F23" t="s">
        <v>71</v>
      </c>
      <c r="G2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priyanka jain</v>
      </c>
      <c r="H23">
        <v>26</v>
      </c>
      <c r="I23">
        <f>IF(Table1[[#This Row],[Age]]="",AVERAGE(Table1[Age]),Table1[[#This Row],[Age]])</f>
        <v>26</v>
      </c>
      <c r="J23" t="s">
        <v>12</v>
      </c>
      <c r="K23" t="s">
        <v>146</v>
      </c>
      <c r="L23" t="s">
        <v>72</v>
      </c>
      <c r="M23" t="str">
        <f>IF(Table1[[#This Row],[Email]]="","support@unmessenger.com",Table1[[#This Row],[Email]])</f>
        <v>priyanka.jain@yahoo.com</v>
      </c>
      <c r="N23" t="s">
        <v>137</v>
      </c>
      <c r="O23" t="str">
        <f>IF(Table1[[#This Row],[Phone]]="","Phone not Available",Table1[[#This Row],[Phone]])</f>
        <v>91-8765432109</v>
      </c>
      <c r="Q23" t="str">
        <f>IF(Table1[[#This Row],[Address]]="","Address not Available",Table1[[#This Row],[Address]])</f>
        <v>Address not Available</v>
      </c>
      <c r="R23">
        <v>40088</v>
      </c>
    </row>
    <row r="24" spans="5:18" x14ac:dyDescent="0.35">
      <c r="E24">
        <v>18</v>
      </c>
      <c r="F24" t="s">
        <v>7</v>
      </c>
      <c r="G2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rohit sharma</v>
      </c>
      <c r="H24">
        <v>28</v>
      </c>
      <c r="I24">
        <f>IF(Table1[[#This Row],[Age]]="",AVERAGE(Table1[Age]),Table1[[#This Row],[Age]])</f>
        <v>28</v>
      </c>
      <c r="J24" t="s">
        <v>8</v>
      </c>
      <c r="K24" t="s">
        <v>146</v>
      </c>
      <c r="L24" t="s">
        <v>9</v>
      </c>
      <c r="M24" t="str">
        <f>IF(Table1[[#This Row],[Email]]="","support@unmessenger.com",Table1[[#This Row],[Email]])</f>
        <v>rohit.sharma@gmail.com</v>
      </c>
      <c r="N24" t="s">
        <v>136</v>
      </c>
      <c r="O24" t="str">
        <f>IF(Table1[[#This Row],[Phone]]="","Phone not Available",Table1[[#This Row],[Phone]])</f>
        <v>91-9876543210</v>
      </c>
      <c r="P24" t="s">
        <v>10</v>
      </c>
      <c r="Q24" t="str">
        <f>IF(Table1[[#This Row],[Address]]="","Address not Available",Table1[[#This Row],[Address]])</f>
        <v>654 14th St, Jaipur, Rajasthan, India</v>
      </c>
      <c r="R24">
        <v>2949</v>
      </c>
    </row>
    <row r="25" spans="5:18" x14ac:dyDescent="0.35">
      <c r="E25">
        <v>19</v>
      </c>
      <c r="F25" t="s">
        <v>11</v>
      </c>
      <c r="G2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deepika singh</v>
      </c>
      <c r="H25">
        <v>30</v>
      </c>
      <c r="I25">
        <f>IF(Table1[[#This Row],[Age]]="",AVERAGE(Table1[Age]),Table1[[#This Row],[Age]])</f>
        <v>30</v>
      </c>
      <c r="J25" t="s">
        <v>12</v>
      </c>
      <c r="K25" t="s">
        <v>146</v>
      </c>
      <c r="L25" t="s">
        <v>13</v>
      </c>
      <c r="M25" t="str">
        <f>IF(Table1[[#This Row],[Email]]="","support@unmessenger.com",Table1[[#This Row],[Email]])</f>
        <v>deepika.singh@yahoo.com</v>
      </c>
      <c r="N25" t="s">
        <v>138</v>
      </c>
      <c r="O25" t="str">
        <f>IF(Table1[[#This Row],[Phone]]="","Phone not Available",Table1[[#This Row],[Phone]])</f>
        <v>91-5555555555</v>
      </c>
      <c r="P25" t="s">
        <v>14</v>
      </c>
      <c r="Q25" t="str">
        <f>IF(Table1[[#This Row],[Address]]="","Address not Available",Table1[[#This Row],[Address]])</f>
        <v>321 15th St, Chennai, Tamil Nadu, India</v>
      </c>
      <c r="R25">
        <v>3337</v>
      </c>
    </row>
    <row r="26" spans="5:18" x14ac:dyDescent="0.35">
      <c r="E26">
        <v>20</v>
      </c>
      <c r="F2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vikas joshi</v>
      </c>
      <c r="G2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vikas joshi</v>
      </c>
      <c r="H26">
        <v>32</v>
      </c>
      <c r="I26">
        <f>IF(Table1[[#This Row],[Age]]="",AVERAGE(Table1[Age]),Table1[[#This Row],[Age]])</f>
        <v>32</v>
      </c>
      <c r="J26" t="s">
        <v>8</v>
      </c>
      <c r="K26" t="s">
        <v>145</v>
      </c>
      <c r="L26" t="s">
        <v>15</v>
      </c>
      <c r="M26" t="str">
        <f>IF(Table1[[#This Row],[Email]]="","support@unmessenger.com",Table1[[#This Row],[Email]])</f>
        <v>vikas.joshi@gmail.com</v>
      </c>
      <c r="N26" t="s">
        <v>139</v>
      </c>
      <c r="O26" t="str">
        <f>IF(Table1[[#This Row],[Phone]]="","Phone not Available",Table1[[#This Row],[Phone]])</f>
        <v>91-9999999999</v>
      </c>
      <c r="Q26" t="str">
        <f>IF(Table1[[#This Row],[Address]]="","Address not Available",Table1[[#This Row],[Address]])</f>
        <v>Address not Available</v>
      </c>
      <c r="R26">
        <v>2857</v>
      </c>
    </row>
    <row r="27" spans="5:18" x14ac:dyDescent="0.35">
      <c r="E27">
        <v>21</v>
      </c>
      <c r="F27" t="s">
        <v>16</v>
      </c>
      <c r="G2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nisha verma</v>
      </c>
      <c r="H27">
        <v>26</v>
      </c>
      <c r="I27">
        <f>IF(Table1[[#This Row],[Age]]="",AVERAGE(Table1[Age]),Table1[[#This Row],[Age]])</f>
        <v>26</v>
      </c>
      <c r="J27" t="s">
        <v>12</v>
      </c>
      <c r="K27" t="s">
        <v>153</v>
      </c>
      <c r="L27" t="s">
        <v>17</v>
      </c>
      <c r="M27" t="str">
        <f>IF(Table1[[#This Row],[Email]]="","support@unmessenger.com",Table1[[#This Row],[Email]])</f>
        <v>nisha.verma@hotmail.com</v>
      </c>
      <c r="O27" t="str">
        <f>IF(Table1[[#This Row],[Phone]]="","Phone not Available",Table1[[#This Row],[Phone]])</f>
        <v>Phone not Available</v>
      </c>
      <c r="P27" t="s">
        <v>18</v>
      </c>
      <c r="Q27" t="str">
        <f>IF(Table1[[#This Row],[Address]]="","Address not Available",Table1[[#This Row],[Address]])</f>
        <v>789 16th St, Hyderabad, Telangana, India</v>
      </c>
      <c r="R27">
        <v>35969</v>
      </c>
    </row>
    <row r="28" spans="5:18" x14ac:dyDescent="0.35">
      <c r="E28">
        <v>22</v>
      </c>
      <c r="F28" t="s">
        <v>19</v>
      </c>
      <c r="G2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manoj kumar</v>
      </c>
      <c r="H28">
        <v>33</v>
      </c>
      <c r="I28">
        <f>IF(Table1[[#This Row],[Age]]="",AVERAGE(Table1[Age]),Table1[[#This Row],[Age]])</f>
        <v>33</v>
      </c>
      <c r="J28" t="s">
        <v>8</v>
      </c>
      <c r="K28" t="s">
        <v>146</v>
      </c>
      <c r="L28" t="s">
        <v>20</v>
      </c>
      <c r="M28" t="str">
        <f>IF(Table1[[#This Row],[Email]]="","support@unmessenger.com",Table1[[#This Row],[Email]])</f>
        <v>manoj.kumar@yahoo.com</v>
      </c>
      <c r="N28" t="s">
        <v>155</v>
      </c>
      <c r="O28" t="str">
        <f>IF(Table1[[#This Row],[Phone]]="","Phone not Available",Table1[[#This Row],[Phone]])</f>
        <v>91-8888888888</v>
      </c>
      <c r="P28" t="s">
        <v>21</v>
      </c>
      <c r="Q28" t="str">
        <f>IF(Table1[[#This Row],[Address]]="","Address not Available",Table1[[#This Row],[Address]])</f>
        <v>901 17th St, Pune, Maharashtra, India</v>
      </c>
      <c r="R28">
        <v>49681</v>
      </c>
    </row>
    <row r="29" spans="5:18" x14ac:dyDescent="0.35">
      <c r="E29">
        <v>24</v>
      </c>
      <c r="F29" t="s">
        <v>22</v>
      </c>
      <c r="G2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sanjay gupta</v>
      </c>
      <c r="H29">
        <v>29</v>
      </c>
      <c r="I29">
        <f>IF(Table1[[#This Row],[Age]]="",AVERAGE(Table1[Age]),Table1[[#This Row],[Age]])</f>
        <v>29</v>
      </c>
      <c r="J29" t="s">
        <v>8</v>
      </c>
      <c r="K29" t="s">
        <v>142</v>
      </c>
      <c r="L29" t="s">
        <v>23</v>
      </c>
      <c r="M29" t="str">
        <f>IF(Table1[[#This Row],[Email]]="","support@unmessenger.com",Table1[[#This Row],[Email]])</f>
        <v>sanjay.gupta@gmail.com</v>
      </c>
      <c r="N29" t="s">
        <v>147</v>
      </c>
      <c r="O29" t="str">
        <f>IF(Table1[[#This Row],[Phone]]="","Phone not Available",Table1[[#This Row],[Phone]])</f>
        <v>91-6666666666</v>
      </c>
      <c r="Q29" t="str">
        <f>IF(Table1[[#This Row],[Address]]="","Address not Available",Table1[[#This Row],[Address]])</f>
        <v>Address not Available</v>
      </c>
      <c r="R29">
        <v>15853</v>
      </c>
    </row>
    <row r="30" spans="5:18" x14ac:dyDescent="0.35">
      <c r="E30">
        <v>25</v>
      </c>
      <c r="F30" t="s">
        <v>24</v>
      </c>
      <c r="G3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anjali sharma</v>
      </c>
      <c r="I30">
        <f>IF(Table1[[#This Row],[Age]]="",AVERAGE(Table1[Age]),Table1[[#This Row],[Age]])</f>
        <v>29.636363636363637</v>
      </c>
      <c r="J30" t="s">
        <v>12</v>
      </c>
      <c r="K30" t="s">
        <v>143</v>
      </c>
      <c r="L30" t="s">
        <v>25</v>
      </c>
      <c r="M30" t="str">
        <f>IF(Table1[[#This Row],[Email]]="","support@unmessenger.com",Table1[[#This Row],[Email]])</f>
        <v>anjali.sharma@yahoo.com</v>
      </c>
      <c r="N30" t="s">
        <v>138</v>
      </c>
      <c r="O30" t="str">
        <f>IF(Table1[[#This Row],[Phone]]="","Phone not Available",Table1[[#This Row],[Phone]])</f>
        <v>91-5555555555</v>
      </c>
      <c r="P30" t="s">
        <v>26</v>
      </c>
      <c r="Q30" t="str">
        <f>IF(Table1[[#This Row],[Address]]="","Address not Available",Table1[[#This Row],[Address]])</f>
        <v>567 19th St, Bangalore, Karnataka, India</v>
      </c>
      <c r="R30">
        <v>6926</v>
      </c>
    </row>
    <row r="31" spans="5:18" x14ac:dyDescent="0.35">
      <c r="E31">
        <v>26</v>
      </c>
      <c r="F31" t="s">
        <v>27</v>
      </c>
      <c r="G3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akash patel</v>
      </c>
      <c r="H31">
        <v>31</v>
      </c>
      <c r="I31">
        <f>IF(Table1[[#This Row],[Age]]="",AVERAGE(Table1[Age]),Table1[[#This Row],[Age]])</f>
        <v>31</v>
      </c>
      <c r="J31" t="s">
        <v>8</v>
      </c>
      <c r="K31" t="s">
        <v>145</v>
      </c>
      <c r="L31" t="s">
        <v>28</v>
      </c>
      <c r="M31" t="str">
        <f>IF(Table1[[#This Row],[Email]]="","support@unmessenger.com",Table1[[#This Row],[Email]])</f>
        <v>akash.patel@hotmail.com</v>
      </c>
      <c r="O31" t="str">
        <f>IF(Table1[[#This Row],[Phone]]="","Phone not Available",Table1[[#This Row],[Phone]])</f>
        <v>Phone not Available</v>
      </c>
      <c r="P31" t="s">
        <v>29</v>
      </c>
      <c r="Q31" t="str">
        <f>IF(Table1[[#This Row],[Address]]="","Address not Available",Table1[[#This Row],[Address]])</f>
        <v>789 20th St, Mumbai, Maharashtra, India</v>
      </c>
      <c r="R31">
        <v>45678</v>
      </c>
    </row>
    <row r="32" spans="5:18" x14ac:dyDescent="0.35">
      <c r="E32">
        <v>27</v>
      </c>
      <c r="F32" t="s">
        <v>30</v>
      </c>
      <c r="G3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preeti singh</v>
      </c>
      <c r="H32">
        <v>28</v>
      </c>
      <c r="I32">
        <f>IF(Table1[[#This Row],[Age]]="",AVERAGE(Table1[Age]),Table1[[#This Row],[Age]])</f>
        <v>28</v>
      </c>
      <c r="J32" t="s">
        <v>12</v>
      </c>
      <c r="K32" t="s">
        <v>153</v>
      </c>
      <c r="L32" t="s">
        <v>31</v>
      </c>
      <c r="M32" t="str">
        <f>IF(Table1[[#This Row],[Email]]="","support@unmessenger.com",Table1[[#This Row],[Email]])</f>
        <v>preeti.singh@gmail.com</v>
      </c>
      <c r="N32" t="s">
        <v>156</v>
      </c>
      <c r="O32" t="str">
        <f>IF(Table1[[#This Row],[Phone]]="","Phone not Available",Table1[[#This Row],[Phone]])</f>
        <v>91-7777777777</v>
      </c>
      <c r="P32" t="s">
        <v>32</v>
      </c>
      <c r="Q32" t="str">
        <f>IF(Table1[[#This Row],[Address]]="","Address not Available",Table1[[#This Row],[Address]])</f>
        <v>321 21st St, Kolkata, West Bengal, India</v>
      </c>
      <c r="R32">
        <v>8022</v>
      </c>
    </row>
    <row r="33" spans="5:18" x14ac:dyDescent="0.35">
      <c r="E33">
        <v>28</v>
      </c>
      <c r="F33" t="s">
        <v>73</v>
      </c>
      <c r="G3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ravi kumar</v>
      </c>
      <c r="H33">
        <v>34</v>
      </c>
      <c r="I33">
        <f>IF(Table1[[#This Row],[Age]]="",AVERAGE(Table1[Age]),Table1[[#This Row],[Age]])</f>
        <v>34</v>
      </c>
      <c r="J33" t="s">
        <v>8</v>
      </c>
      <c r="K33" t="s">
        <v>146</v>
      </c>
      <c r="L33" t="s">
        <v>74</v>
      </c>
      <c r="M33" t="str">
        <f>IF(Table1[[#This Row],[Email]]="","support@unmessenger.com",Table1[[#This Row],[Email]])</f>
        <v>ravi.kumar@gmail.com</v>
      </c>
      <c r="N33" t="s">
        <v>155</v>
      </c>
      <c r="O33" t="str">
        <f>IF(Table1[[#This Row],[Phone]]="","Phone not Available",Table1[[#This Row],[Phone]])</f>
        <v>91-8888888888</v>
      </c>
      <c r="P33" t="s">
        <v>75</v>
      </c>
      <c r="Q33" t="str">
        <f>IF(Table1[[#This Row],[Address]]="","Address not Available",Table1[[#This Row],[Address]])</f>
        <v>901 22nd St, Patna, Bihar, India</v>
      </c>
      <c r="R33">
        <v>3484</v>
      </c>
    </row>
    <row r="34" spans="5:18" x14ac:dyDescent="0.35">
      <c r="E34">
        <v>29</v>
      </c>
      <c r="F34" t="s">
        <v>76</v>
      </c>
      <c r="G3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swati mishra</v>
      </c>
      <c r="H34">
        <v>26</v>
      </c>
      <c r="I34">
        <f>IF(Table1[[#This Row],[Age]]="",AVERAGE(Table1[Age]),Table1[[#This Row],[Age]])</f>
        <v>26</v>
      </c>
      <c r="J34" t="s">
        <v>12</v>
      </c>
      <c r="K34" t="s">
        <v>143</v>
      </c>
      <c r="L34" t="s">
        <v>77</v>
      </c>
      <c r="M34" t="str">
        <f>IF(Table1[[#This Row],[Email]]="","support@unmessenger.com",Table1[[#This Row],[Email]])</f>
        <v>swati.mishra@yahoo.com</v>
      </c>
      <c r="N34" t="s">
        <v>156</v>
      </c>
      <c r="O34" t="str">
        <f>IF(Table1[[#This Row],[Phone]]="","Phone not Available",Table1[[#This Row],[Phone]])</f>
        <v>91-7777777777</v>
      </c>
      <c r="P34" t="s">
        <v>78</v>
      </c>
      <c r="Q34" t="str">
        <f>IF(Table1[[#This Row],[Address]]="","Address not Available",Table1[[#This Row],[Address]])</f>
        <v>234 23rd St, Bhopal, Madhya Pradesh, India</v>
      </c>
      <c r="R34">
        <v>11342</v>
      </c>
    </row>
    <row r="35" spans="5:18" x14ac:dyDescent="0.35">
      <c r="E35">
        <v>30</v>
      </c>
      <c r="F3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ankit singh</v>
      </c>
      <c r="G3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ankit singh</v>
      </c>
      <c r="H35">
        <v>29</v>
      </c>
      <c r="I35">
        <f>IF(Table1[[#This Row],[Age]]="",AVERAGE(Table1[Age]),Table1[[#This Row],[Age]])</f>
        <v>29</v>
      </c>
      <c r="J35" t="s">
        <v>8</v>
      </c>
      <c r="K35" t="s">
        <v>141</v>
      </c>
      <c r="L35" t="s">
        <v>79</v>
      </c>
      <c r="M35" t="str">
        <f>IF(Table1[[#This Row],[Email]]="","support@unmessenger.com",Table1[[#This Row],[Email]])</f>
        <v>ankit.singh@hotmail.com</v>
      </c>
      <c r="O35" t="str">
        <f>IF(Table1[[#This Row],[Phone]]="","Phone not Available",Table1[[#This Row],[Phone]])</f>
        <v>Phone not Available</v>
      </c>
      <c r="P35" t="s">
        <v>80</v>
      </c>
      <c r="Q35" t="str">
        <f>IF(Table1[[#This Row],[Address]]="","Address not Available",Table1[[#This Row],[Address]])</f>
        <v>567 24th St, Lucknow, Uttar Pradesh, India</v>
      </c>
      <c r="R35">
        <v>40940</v>
      </c>
    </row>
    <row r="36" spans="5:18" x14ac:dyDescent="0.35">
      <c r="E36">
        <v>31</v>
      </c>
      <c r="F36" t="s">
        <v>53</v>
      </c>
      <c r="G3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neha gupta</v>
      </c>
      <c r="H36">
        <v>27</v>
      </c>
      <c r="I36">
        <f>IF(Table1[[#This Row],[Age]]="",AVERAGE(Table1[Age]),Table1[[#This Row],[Age]])</f>
        <v>27</v>
      </c>
      <c r="J36" t="s">
        <v>12</v>
      </c>
      <c r="K36" t="s">
        <v>141</v>
      </c>
      <c r="L36" t="s">
        <v>81</v>
      </c>
      <c r="M36" t="str">
        <f>IF(Table1[[#This Row],[Email]]="","support@unmessenger.com",Table1[[#This Row],[Email]])</f>
        <v>neha.gupta@gmail.com</v>
      </c>
      <c r="N36" t="s">
        <v>138</v>
      </c>
      <c r="O36" t="str">
        <f>IF(Table1[[#This Row],[Phone]]="","Phone not Available",Table1[[#This Row],[Phone]])</f>
        <v>91-5555555555</v>
      </c>
      <c r="Q36" t="str">
        <f>IF(Table1[[#This Row],[Address]]="","Address not Available",Table1[[#This Row],[Address]])</f>
        <v>Address not Available</v>
      </c>
      <c r="R36">
        <v>41841</v>
      </c>
    </row>
    <row r="37" spans="5:18" x14ac:dyDescent="0.35">
      <c r="E37">
        <v>32</v>
      </c>
      <c r="F37" t="s">
        <v>82</v>
      </c>
      <c r="G3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rajeev sharma</v>
      </c>
      <c r="H37">
        <v>32</v>
      </c>
      <c r="I37">
        <f>IF(Table1[[#This Row],[Age]]="",AVERAGE(Table1[Age]),Table1[[#This Row],[Age]])</f>
        <v>32</v>
      </c>
      <c r="J37" t="s">
        <v>8</v>
      </c>
      <c r="K37" t="s">
        <v>145</v>
      </c>
      <c r="L37" t="s">
        <v>83</v>
      </c>
      <c r="M37" t="str">
        <f>IF(Table1[[#This Row],[Email]]="","support@unmessenger.com",Table1[[#This Row],[Email]])</f>
        <v>rajeev.sharma@yahoo.com</v>
      </c>
      <c r="O37" t="str">
        <f>IF(Table1[[#This Row],[Phone]]="","Phone not Available",Table1[[#This Row],[Phone]])</f>
        <v>Phone not Available</v>
      </c>
      <c r="P37" t="s">
        <v>84</v>
      </c>
      <c r="Q37" t="str">
        <f>IF(Table1[[#This Row],[Address]]="","Address not Available",Table1[[#This Row],[Address]])</f>
        <v>789 25th St, Jaipur, Rajasthan, India</v>
      </c>
      <c r="R37">
        <v>39835</v>
      </c>
    </row>
    <row r="38" spans="5:18" x14ac:dyDescent="0.35">
      <c r="E38">
        <v>33</v>
      </c>
      <c r="F3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sarika patel</v>
      </c>
      <c r="G3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sarika patel</v>
      </c>
      <c r="H38">
        <v>33</v>
      </c>
      <c r="I38">
        <f>IF(Table1[[#This Row],[Age]]="",AVERAGE(Table1[Age]),Table1[[#This Row],[Age]])</f>
        <v>33</v>
      </c>
      <c r="J38" t="s">
        <v>12</v>
      </c>
      <c r="K38" t="s">
        <v>153</v>
      </c>
      <c r="L38" t="s">
        <v>85</v>
      </c>
      <c r="M38" t="str">
        <f>IF(Table1[[#This Row],[Email]]="","support@unmessenger.com",Table1[[#This Row],[Email]])</f>
        <v>sarika.patel@hotmail.com</v>
      </c>
      <c r="N38" t="s">
        <v>147</v>
      </c>
      <c r="O38" t="str">
        <f>IF(Table1[[#This Row],[Phone]]="","Phone not Available",Table1[[#This Row],[Phone]])</f>
        <v>91-6666666666</v>
      </c>
      <c r="P38" t="s">
        <v>86</v>
      </c>
      <c r="Q38" t="str">
        <f>IF(Table1[[#This Row],[Address]]="","Address not Available",Table1[[#This Row],[Address]])</f>
        <v>654 26th St, Chennai, Tamil Nadu, India</v>
      </c>
      <c r="R38">
        <v>9577</v>
      </c>
    </row>
    <row r="39" spans="5:18" x14ac:dyDescent="0.35">
      <c r="E39">
        <v>34</v>
      </c>
      <c r="F39" t="s">
        <v>87</v>
      </c>
      <c r="G3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vinay singh</v>
      </c>
      <c r="H39">
        <v>30</v>
      </c>
      <c r="I39">
        <f>IF(Table1[[#This Row],[Age]]="",AVERAGE(Table1[Age]),Table1[[#This Row],[Age]])</f>
        <v>30</v>
      </c>
      <c r="J39" t="s">
        <v>8</v>
      </c>
      <c r="K39" t="s">
        <v>146</v>
      </c>
      <c r="L39" t="s">
        <v>88</v>
      </c>
      <c r="M39" t="str">
        <f>IF(Table1[[#This Row],[Email]]="","support@unmessenger.com",Table1[[#This Row],[Email]])</f>
        <v>vinay.singh@gmail.com</v>
      </c>
      <c r="O39" t="str">
        <f>IF(Table1[[#This Row],[Phone]]="","Phone not Available",Table1[[#This Row],[Phone]])</f>
        <v>Phone not Available</v>
      </c>
      <c r="P39" t="s">
        <v>89</v>
      </c>
      <c r="Q39" t="str">
        <f>IF(Table1[[#This Row],[Address]]="","Address not Available",Table1[[#This Row],[Address]])</f>
        <v>321 27th St, Hyderabad, Telangana, India</v>
      </c>
      <c r="R39">
        <v>29480</v>
      </c>
    </row>
    <row r="40" spans="5:18" x14ac:dyDescent="0.35">
      <c r="E40">
        <v>35</v>
      </c>
      <c r="F40" t="s">
        <v>90</v>
      </c>
      <c r="G4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priya gupta</v>
      </c>
      <c r="I40">
        <f>IF(Table1[[#This Row],[Age]]="",AVERAGE(Table1[Age]),Table1[[#This Row],[Age]])</f>
        <v>29.636363636363637</v>
      </c>
      <c r="J40" t="s">
        <v>12</v>
      </c>
      <c r="K40" t="s">
        <v>143</v>
      </c>
      <c r="L40" t="s">
        <v>91</v>
      </c>
      <c r="M40" t="str">
        <f>IF(Table1[[#This Row],[Email]]="","support@unmessenger.com",Table1[[#This Row],[Email]])</f>
        <v>priya.gupta@yahoo.com</v>
      </c>
      <c r="N40" t="s">
        <v>138</v>
      </c>
      <c r="O40" t="str">
        <f>IF(Table1[[#This Row],[Phone]]="","Phone not Available",Table1[[#This Row],[Phone]])</f>
        <v>91-5555555555</v>
      </c>
      <c r="P40" t="s">
        <v>92</v>
      </c>
      <c r="Q40" t="str">
        <f>IF(Table1[[#This Row],[Address]]="","Address not Available",Table1[[#This Row],[Address]])</f>
        <v>901 28th St, Pune, Maharashtra, India</v>
      </c>
      <c r="R40">
        <v>14254</v>
      </c>
    </row>
    <row r="41" spans="5:18" x14ac:dyDescent="0.35">
      <c r="E41">
        <v>36</v>
      </c>
      <c r="F41" t="s">
        <v>93</v>
      </c>
      <c r="G4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sushant patel</v>
      </c>
      <c r="H41">
        <v>29</v>
      </c>
      <c r="I41">
        <f>IF(Table1[[#This Row],[Age]]="",AVERAGE(Table1[Age]),Table1[[#This Row],[Age]])</f>
        <v>29</v>
      </c>
      <c r="J41" t="s">
        <v>8</v>
      </c>
      <c r="K41" t="s">
        <v>141</v>
      </c>
      <c r="L41" t="s">
        <v>94</v>
      </c>
      <c r="M41" t="str">
        <f>IF(Table1[[#This Row],[Email]]="","support@unmessenger.com",Table1[[#This Row],[Email]])</f>
        <v>sushant.patel@hotmail.com</v>
      </c>
      <c r="N41" t="s">
        <v>156</v>
      </c>
      <c r="O41" t="str">
        <f>IF(Table1[[#This Row],[Phone]]="","Phone not Available",Table1[[#This Row],[Phone]])</f>
        <v>91-7777777777</v>
      </c>
      <c r="P41" t="s">
        <v>95</v>
      </c>
      <c r="Q41" t="str">
        <f>IF(Table1[[#This Row],[Address]]="","Address not Available",Table1[[#This Row],[Address]])</f>
        <v>567 29th St, Ahmedabad, Gujarat, India</v>
      </c>
      <c r="R41">
        <v>37358</v>
      </c>
    </row>
    <row r="42" spans="5:18" x14ac:dyDescent="0.35">
      <c r="E42">
        <v>37</v>
      </c>
      <c r="F4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payal sharma</v>
      </c>
      <c r="G4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payal sharma</v>
      </c>
      <c r="H42">
        <v>31</v>
      </c>
      <c r="I42">
        <f>IF(Table1[[#This Row],[Age]]="",AVERAGE(Table1[Age]),Table1[[#This Row],[Age]])</f>
        <v>31</v>
      </c>
      <c r="J42" t="s">
        <v>12</v>
      </c>
      <c r="K42" t="s">
        <v>141</v>
      </c>
      <c r="L42" t="s">
        <v>96</v>
      </c>
      <c r="M42" t="str">
        <f>IF(Table1[[#This Row],[Email]]="","support@unmessenger.com",Table1[[#This Row],[Email]])</f>
        <v>payal.sharma@gmail.com</v>
      </c>
      <c r="O42" t="str">
        <f>IF(Table1[[#This Row],[Phone]]="","Phone not Available",Table1[[#This Row],[Phone]])</f>
        <v>Phone not Available</v>
      </c>
      <c r="P42" t="s">
        <v>97</v>
      </c>
      <c r="Q42" t="str">
        <f>IF(Table1[[#This Row],[Address]]="","Address not Available",Table1[[#This Row],[Address]])</f>
        <v>234 30th St, Bangalore, Karnataka, India</v>
      </c>
      <c r="R42">
        <v>48367</v>
      </c>
    </row>
    <row r="43" spans="5:18" x14ac:dyDescent="0.35">
      <c r="E43">
        <v>38</v>
      </c>
      <c r="F43" t="s">
        <v>98</v>
      </c>
      <c r="G4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mohit verma</v>
      </c>
      <c r="H43">
        <v>28</v>
      </c>
      <c r="I43">
        <f>IF(Table1[[#This Row],[Age]]="",AVERAGE(Table1[Age]),Table1[[#This Row],[Age]])</f>
        <v>28</v>
      </c>
      <c r="J43" t="s">
        <v>8</v>
      </c>
      <c r="K43" t="s">
        <v>144</v>
      </c>
      <c r="L43" t="s">
        <v>99</v>
      </c>
      <c r="M43" t="str">
        <f>IF(Table1[[#This Row],[Email]]="","support@unmessenger.com",Table1[[#This Row],[Email]])</f>
        <v>mohit.verma@yahoo.com</v>
      </c>
      <c r="N43" t="s">
        <v>155</v>
      </c>
      <c r="O43" t="str">
        <f>IF(Table1[[#This Row],[Phone]]="","Phone not Available",Table1[[#This Row],[Phone]])</f>
        <v>91-8888888888</v>
      </c>
      <c r="P43" t="s">
        <v>100</v>
      </c>
      <c r="Q43" t="str">
        <f>IF(Table1[[#This Row],[Address]]="","Address not Available",Table1[[#This Row],[Address]])</f>
        <v>789 31st St, Mumbai, Maharashtra, India</v>
      </c>
      <c r="R43">
        <v>37473</v>
      </c>
    </row>
    <row r="44" spans="5:18" x14ac:dyDescent="0.35">
      <c r="E44">
        <v>39</v>
      </c>
      <c r="F44" t="s">
        <v>101</v>
      </c>
      <c r="G4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kavita singh</v>
      </c>
      <c r="H44">
        <v>33</v>
      </c>
      <c r="I44">
        <f>IF(Table1[[#This Row],[Age]]="",AVERAGE(Table1[Age]),Table1[[#This Row],[Age]])</f>
        <v>33</v>
      </c>
      <c r="J44" t="s">
        <v>12</v>
      </c>
      <c r="K44" t="s">
        <v>144</v>
      </c>
      <c r="L44" t="s">
        <v>102</v>
      </c>
      <c r="M44" t="str">
        <f>IF(Table1[[#This Row],[Email]]="","support@unmessenger.com",Table1[[#This Row],[Email]])</f>
        <v>kavita.singh@hotmail.com</v>
      </c>
      <c r="N44" t="s">
        <v>139</v>
      </c>
      <c r="O44" t="str">
        <f>IF(Table1[[#This Row],[Phone]]="","Phone not Available",Table1[[#This Row],[Phone]])</f>
        <v>91-9999999999</v>
      </c>
      <c r="P44" t="s">
        <v>103</v>
      </c>
      <c r="Q44" t="str">
        <f>IF(Table1[[#This Row],[Address]]="","Address not Available",Table1[[#This Row],[Address]])</f>
        <v>901 32nd St, Kolkata, West Bengal, India</v>
      </c>
      <c r="R44">
        <v>30628</v>
      </c>
    </row>
    <row r="45" spans="5:18" x14ac:dyDescent="0.35">
      <c r="E45">
        <v>40</v>
      </c>
      <c r="F45" t="s">
        <v>104</v>
      </c>
      <c r="G4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ankit patel</v>
      </c>
      <c r="H45">
        <v>30</v>
      </c>
      <c r="I45">
        <f>IF(Table1[[#This Row],[Age]]="",AVERAGE(Table1[Age]),Table1[[#This Row],[Age]])</f>
        <v>30</v>
      </c>
      <c r="J45" t="s">
        <v>8</v>
      </c>
      <c r="K45" t="s">
        <v>142</v>
      </c>
      <c r="L45" t="s">
        <v>105</v>
      </c>
      <c r="M45" t="str">
        <f>IF(Table1[[#This Row],[Email]]="","support@unmessenger.com",Table1[[#This Row],[Email]])</f>
        <v>ankit.patel@gmail.com</v>
      </c>
      <c r="O45" t="str">
        <f>IF(Table1[[#This Row],[Phone]]="","Phone not Available",Table1[[#This Row],[Phone]])</f>
        <v>Phone not Available</v>
      </c>
      <c r="P45" t="s">
        <v>106</v>
      </c>
      <c r="Q45" t="str">
        <f>IF(Table1[[#This Row],[Address]]="","Address not Available",Table1[[#This Row],[Address]])</f>
        <v>321 33rd St, Patna, Bihar, India</v>
      </c>
      <c r="R45">
        <v>22018</v>
      </c>
    </row>
    <row r="46" spans="5:18" x14ac:dyDescent="0.35">
      <c r="E46">
        <v>41</v>
      </c>
      <c r="F46" t="s">
        <v>107</v>
      </c>
      <c r="G4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pooja mishra</v>
      </c>
      <c r="H46">
        <v>27</v>
      </c>
      <c r="I46">
        <f>IF(Table1[[#This Row],[Age]]="",AVERAGE(Table1[Age]),Table1[[#This Row],[Age]])</f>
        <v>27</v>
      </c>
      <c r="J46" t="s">
        <v>12</v>
      </c>
      <c r="K46" t="s">
        <v>146</v>
      </c>
      <c r="L46" t="s">
        <v>108</v>
      </c>
      <c r="M46" t="str">
        <f>IF(Table1[[#This Row],[Email]]="","support@unmessenger.com",Table1[[#This Row],[Email]])</f>
        <v>pooja.mishra@yahoo.com</v>
      </c>
      <c r="N46" t="s">
        <v>156</v>
      </c>
      <c r="O46" t="str">
        <f>IF(Table1[[#This Row],[Phone]]="","Phone not Available",Table1[[#This Row],[Phone]])</f>
        <v>91-7777777777</v>
      </c>
      <c r="P46" t="s">
        <v>109</v>
      </c>
      <c r="Q46" t="str">
        <f>IF(Table1[[#This Row],[Address]]="","Address not Available",Table1[[#This Row],[Address]])</f>
        <v>234 34th St, Bhopal, Madhya Pradesh, India</v>
      </c>
      <c r="R46">
        <v>35747</v>
      </c>
    </row>
    <row r="47" spans="5:18" x14ac:dyDescent="0.35">
      <c r="E47">
        <v>42</v>
      </c>
      <c r="F47" t="s">
        <v>110</v>
      </c>
      <c r="G4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mohan kumar</v>
      </c>
      <c r="H47">
        <v>29</v>
      </c>
      <c r="I47">
        <f>IF(Table1[[#This Row],[Age]]="",AVERAGE(Table1[Age]),Table1[[#This Row],[Age]])</f>
        <v>29</v>
      </c>
      <c r="J47" t="s">
        <v>8</v>
      </c>
      <c r="K47" t="s">
        <v>141</v>
      </c>
      <c r="L47" t="s">
        <v>111</v>
      </c>
      <c r="M47" t="str">
        <f>IF(Table1[[#This Row],[Email]]="","support@unmessenger.com",Table1[[#This Row],[Email]])</f>
        <v>mohan.kumar@gmail.com</v>
      </c>
      <c r="O47" t="str">
        <f>IF(Table1[[#This Row],[Phone]]="","Phone not Available",Table1[[#This Row],[Phone]])</f>
        <v>Phone not Available</v>
      </c>
      <c r="P47" t="s">
        <v>112</v>
      </c>
      <c r="Q47" t="str">
        <f>IF(Table1[[#This Row],[Address]]="","Address not Available",Table1[[#This Row],[Address]])</f>
        <v>567 35th St, Lucknow, Uttar Pradesh, India</v>
      </c>
      <c r="R47">
        <v>32258</v>
      </c>
    </row>
    <row r="48" spans="5:18" x14ac:dyDescent="0.35">
      <c r="E48">
        <v>43</v>
      </c>
      <c r="F48" t="s">
        <v>113</v>
      </c>
      <c r="G4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anjali gupta</v>
      </c>
      <c r="H48">
        <v>26</v>
      </c>
      <c r="I48">
        <f>IF(Table1[[#This Row],[Age]]="",AVERAGE(Table1[Age]),Table1[[#This Row],[Age]])</f>
        <v>26</v>
      </c>
      <c r="J48" t="s">
        <v>12</v>
      </c>
      <c r="K48" t="s">
        <v>145</v>
      </c>
      <c r="L48" t="s">
        <v>114</v>
      </c>
      <c r="M48" t="str">
        <f>IF(Table1[[#This Row],[Email]]="","support@unmessenger.com",Table1[[#This Row],[Email]])</f>
        <v>anjali.gupta@hotmail.com</v>
      </c>
      <c r="N48" t="s">
        <v>138</v>
      </c>
      <c r="O48" t="str">
        <f>IF(Table1[[#This Row],[Phone]]="","Phone not Available",Table1[[#This Row],[Phone]])</f>
        <v>91-5555555555</v>
      </c>
      <c r="P48" t="s">
        <v>115</v>
      </c>
      <c r="Q48" t="str">
        <f>IF(Table1[[#This Row],[Address]]="","Address not Available",Table1[[#This Row],[Address]])</f>
        <v>654 36th St, Jaipur, Rajasthan, India</v>
      </c>
      <c r="R48">
        <v>31047</v>
      </c>
    </row>
    <row r="49" spans="5:18" x14ac:dyDescent="0.35">
      <c r="E49">
        <v>44</v>
      </c>
      <c r="F4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mukesh sharma</v>
      </c>
      <c r="G4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mukesh sharma</v>
      </c>
      <c r="H49">
        <v>28</v>
      </c>
      <c r="I49">
        <f>IF(Table1[[#This Row],[Age]]="",AVERAGE(Table1[Age]),Table1[[#This Row],[Age]])</f>
        <v>28</v>
      </c>
      <c r="J49" t="s">
        <v>8</v>
      </c>
      <c r="K49" t="s">
        <v>153</v>
      </c>
      <c r="L49" t="s">
        <v>116</v>
      </c>
      <c r="M49" t="str">
        <f>IF(Table1[[#This Row],[Email]]="","support@unmessenger.com",Table1[[#This Row],[Email]])</f>
        <v>mukesh.sharma@yahoo.com</v>
      </c>
      <c r="O49" t="str">
        <f>IF(Table1[[#This Row],[Phone]]="","Phone not Available",Table1[[#This Row],[Phone]])</f>
        <v>Phone not Available</v>
      </c>
      <c r="P49" t="s">
        <v>117</v>
      </c>
      <c r="Q49" t="str">
        <f>IF(Table1[[#This Row],[Address]]="","Address not Available",Table1[[#This Row],[Address]])</f>
        <v>789 37th St, Chennai, Tamil Nadu, India</v>
      </c>
      <c r="R49">
        <v>31064</v>
      </c>
    </row>
    <row r="50" spans="5:18" x14ac:dyDescent="0.35">
      <c r="E50">
        <v>45</v>
      </c>
      <c r="F50" t="s">
        <v>118</v>
      </c>
      <c r="G5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arjun singh</v>
      </c>
      <c r="H50">
        <v>31</v>
      </c>
      <c r="I50">
        <f>IF(Table1[[#This Row],[Age]]="",AVERAGE(Table1[Age]),Table1[[#This Row],[Age]])</f>
        <v>31</v>
      </c>
      <c r="J50" t="s">
        <v>8</v>
      </c>
      <c r="K50" t="s">
        <v>146</v>
      </c>
      <c r="L50" t="s">
        <v>119</v>
      </c>
      <c r="M50" t="str">
        <f>IF(Table1[[#This Row],[Email]]="","support@unmessenger.com",Table1[[#This Row],[Email]])</f>
        <v>arjun.singh@gmail.com</v>
      </c>
      <c r="N50" t="s">
        <v>155</v>
      </c>
      <c r="O50" t="str">
        <f>IF(Table1[[#This Row],[Phone]]="","Phone not Available",Table1[[#This Row],[Phone]])</f>
        <v>91-8888888888</v>
      </c>
      <c r="Q50" t="str">
        <f>IF(Table1[[#This Row],[Address]]="","Address not Available",Table1[[#This Row],[Address]])</f>
        <v>Address not Available</v>
      </c>
      <c r="R50">
        <v>3108</v>
      </c>
    </row>
    <row r="51" spans="5:18" x14ac:dyDescent="0.35">
      <c r="E51">
        <v>46</v>
      </c>
      <c r="F51" t="s">
        <v>120</v>
      </c>
      <c r="G5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divya patel</v>
      </c>
      <c r="H51">
        <v>27</v>
      </c>
      <c r="I51">
        <f>IF(Table1[[#This Row],[Age]]="",AVERAGE(Table1[Age]),Table1[[#This Row],[Age]])</f>
        <v>27</v>
      </c>
      <c r="J51" t="s">
        <v>12</v>
      </c>
      <c r="K51" t="s">
        <v>144</v>
      </c>
      <c r="L51" t="s">
        <v>121</v>
      </c>
      <c r="M51" t="str">
        <f>IF(Table1[[#This Row],[Email]]="","support@unmessenger.com",Table1[[#This Row],[Email]])</f>
        <v>divya.patel@yahoo.com</v>
      </c>
      <c r="N51" t="s">
        <v>156</v>
      </c>
      <c r="O51" t="str">
        <f>IF(Table1[[#This Row],[Phone]]="","Phone not Available",Table1[[#This Row],[Phone]])</f>
        <v>91-7777777777</v>
      </c>
      <c r="P51" t="s">
        <v>122</v>
      </c>
      <c r="Q51" t="str">
        <f>IF(Table1[[#This Row],[Address]]="","Address not Available",Table1[[#This Row],[Address]])</f>
        <v>567 38th St, Hyderabad, Telangana, India</v>
      </c>
      <c r="R51">
        <v>20205</v>
      </c>
    </row>
    <row r="52" spans="5:18" x14ac:dyDescent="0.35">
      <c r="E52">
        <v>47</v>
      </c>
      <c r="F52" t="s">
        <v>151</v>
      </c>
      <c r="G5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gaurav kumar</v>
      </c>
      <c r="H52">
        <v>29</v>
      </c>
      <c r="I52">
        <f>IF(Table1[[#This Row],[Age]]="",AVERAGE(Table1[Age]),Table1[[#This Row],[Age]])</f>
        <v>29</v>
      </c>
      <c r="J52" t="s">
        <v>8</v>
      </c>
      <c r="K52" t="s">
        <v>144</v>
      </c>
      <c r="L52" t="s">
        <v>123</v>
      </c>
      <c r="M52" t="str">
        <f>IF(Table1[[#This Row],[Email]]="","support@unmessenger.com",Table1[[#This Row],[Email]])</f>
        <v>gaurav.kumar@gmail.com</v>
      </c>
      <c r="O52" t="str">
        <f>IF(Table1[[#This Row],[Phone]]="","Phone not Available",Table1[[#This Row],[Phone]])</f>
        <v>Phone not Available</v>
      </c>
      <c r="P52" t="s">
        <v>124</v>
      </c>
      <c r="Q52" t="str">
        <f>IF(Table1[[#This Row],[Address]]="","Address not Available",Table1[[#This Row],[Address]])</f>
        <v>234 39th St, Pune, Maharashtra, India</v>
      </c>
      <c r="R52">
        <v>8746</v>
      </c>
    </row>
    <row r="53" spans="5:18" x14ac:dyDescent="0.35">
      <c r="E53">
        <v>48</v>
      </c>
      <c r="F53" t="s">
        <v>125</v>
      </c>
      <c r="G5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aditi shah</v>
      </c>
      <c r="H53">
        <v>32</v>
      </c>
      <c r="I53">
        <f>IF(Table1[[#This Row],[Age]]="",AVERAGE(Table1[Age]),Table1[[#This Row],[Age]])</f>
        <v>32</v>
      </c>
      <c r="J53" t="s">
        <v>12</v>
      </c>
      <c r="K53" t="s">
        <v>143</v>
      </c>
      <c r="L53" t="s">
        <v>126</v>
      </c>
      <c r="M53" t="str">
        <f>IF(Table1[[#This Row],[Email]]="","support@unmessenger.com",Table1[[#This Row],[Email]])</f>
        <v>aditi.shah@hotmail.com</v>
      </c>
      <c r="N53" t="s">
        <v>147</v>
      </c>
      <c r="O53" t="str">
        <f>IF(Table1[[#This Row],[Phone]]="","Phone not Available",Table1[[#This Row],[Phone]])</f>
        <v>91-6666666666</v>
      </c>
      <c r="P53" t="s">
        <v>127</v>
      </c>
      <c r="Q53" t="str">
        <f>IF(Table1[[#This Row],[Address]]="","Address not Available",Table1[[#This Row],[Address]])</f>
        <v>901 40th St, Ahmedabad, Gujarat, India</v>
      </c>
      <c r="R53">
        <v>15531</v>
      </c>
    </row>
    <row r="54" spans="5:18" x14ac:dyDescent="0.35">
      <c r="E54">
        <v>49</v>
      </c>
      <c r="F54" t="s">
        <v>128</v>
      </c>
      <c r="G5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sandeep singh</v>
      </c>
      <c r="I54">
        <f>IF(Table1[[#This Row],[Age]]="",AVERAGE(Table1[Age]),Table1[[#This Row],[Age]])</f>
        <v>29.636363636363637</v>
      </c>
      <c r="J54" t="s">
        <v>8</v>
      </c>
      <c r="K54" t="s">
        <v>141</v>
      </c>
      <c r="L54" t="s">
        <v>129</v>
      </c>
      <c r="M54" t="str">
        <f>IF(Table1[[#This Row],[Email]]="","support@unmessenger.com",Table1[[#This Row],[Email]])</f>
        <v>sandeep.singh@yahoo.com</v>
      </c>
      <c r="N54" t="s">
        <v>138</v>
      </c>
      <c r="O54" t="str">
        <f>IF(Table1[[#This Row],[Phone]]="","Phone not Available",Table1[[#This Row],[Phone]])</f>
        <v>91-5555555555</v>
      </c>
      <c r="P54" t="s">
        <v>130</v>
      </c>
      <c r="Q54" t="str">
        <f>IF(Table1[[#This Row],[Address]]="","Address not Available",Table1[[#This Row],[Address]])</f>
        <v>321 41st St, Bangalore, Karnataka, India</v>
      </c>
      <c r="R54">
        <v>23055</v>
      </c>
    </row>
    <row r="55" spans="5:18" x14ac:dyDescent="0.35">
      <c r="E55">
        <v>50</v>
      </c>
      <c r="F55" t="s">
        <v>131</v>
      </c>
      <c r="G5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shalini sharma</v>
      </c>
      <c r="H55">
        <v>30</v>
      </c>
      <c r="I55">
        <f>IF(Table1[[#This Row],[Age]]="",AVERAGE(Table1[Age]),Table1[[#This Row],[Age]])</f>
        <v>30</v>
      </c>
      <c r="J55" t="s">
        <v>12</v>
      </c>
      <c r="K55" t="s">
        <v>141</v>
      </c>
      <c r="L55" t="s">
        <v>132</v>
      </c>
      <c r="M55" t="str">
        <f>IF(Table1[[#This Row],[Email]]="","support@unmessenger.com",Table1[[#This Row],[Email]])</f>
        <v>shalini.sharma@gmail.com</v>
      </c>
      <c r="O55" t="str">
        <f>IF(Table1[[#This Row],[Phone]]="","Phone not Available",Table1[[#This Row],[Phone]])</f>
        <v>Phone not Available</v>
      </c>
      <c r="P55" t="s">
        <v>133</v>
      </c>
      <c r="Q55" t="str">
        <f>IF(Table1[[#This Row],[Address]]="","Address not Available",Table1[[#This Row],[Address]])</f>
        <v>789 42nd St, Mumbai, Maharashtra, India</v>
      </c>
      <c r="R55">
        <v>18647</v>
      </c>
    </row>
  </sheetData>
  <conditionalFormatting sqref="E8:N55 P8:R55 O1:O1048576">
    <cfRule type="top10" dxfId="7" priority="5" rank="10"/>
  </conditionalFormatting>
  <conditionalFormatting sqref="F1:F1048576">
    <cfRule type="top10" dxfId="6" priority="4" rank="10"/>
  </conditionalFormatting>
  <conditionalFormatting sqref="F8:F55">
    <cfRule type="expression" dxfId="5" priority="1">
      <formula>RANK($R$8,$R$8:$R$55)&lt;=10</formula>
    </cfRule>
    <cfRule type="top10" dxfId="4" priority="3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FAC9F-10A2-4AB0-AE8E-FD7EB0956301}">
  <dimension ref="A1:I49"/>
  <sheetViews>
    <sheetView tabSelected="1" workbookViewId="0">
      <selection activeCell="G14" sqref="G14"/>
    </sheetView>
  </sheetViews>
  <sheetFormatPr defaultRowHeight="14.5" x14ac:dyDescent="0.35"/>
  <cols>
    <col min="1" max="1" width="4.54296875" bestFit="1" customWidth="1"/>
    <col min="2" max="2" width="14.1796875" bestFit="1" customWidth="1"/>
    <col min="3" max="3" width="12.36328125" bestFit="1" customWidth="1"/>
    <col min="4" max="4" width="8.81640625" bestFit="1" customWidth="1"/>
    <col min="5" max="5" width="15.6328125" bestFit="1" customWidth="1"/>
    <col min="6" max="6" width="25.6328125" bestFit="1" customWidth="1"/>
    <col min="7" max="7" width="17.54296875" bestFit="1" customWidth="1"/>
    <col min="8" max="8" width="37.453125" bestFit="1" customWidth="1"/>
    <col min="9" max="9" width="8" bestFit="1" customWidth="1"/>
  </cols>
  <sheetData>
    <row r="1" spans="1:9" x14ac:dyDescent="0.35">
      <c r="A1" s="1" t="s">
        <v>1</v>
      </c>
      <c r="B1" s="1" t="s">
        <v>0</v>
      </c>
      <c r="C1" s="1" t="s">
        <v>2</v>
      </c>
      <c r="D1" s="1" t="s">
        <v>3</v>
      </c>
      <c r="E1" s="1" t="s">
        <v>140</v>
      </c>
      <c r="F1" s="1" t="s">
        <v>4</v>
      </c>
      <c r="G1" s="1" t="s">
        <v>5</v>
      </c>
      <c r="H1" s="1" t="s">
        <v>6</v>
      </c>
      <c r="I1" s="1" t="s">
        <v>134</v>
      </c>
    </row>
    <row r="2" spans="1:9" x14ac:dyDescent="0.35">
      <c r="A2">
        <v>1</v>
      </c>
      <c r="B2" t="s">
        <v>33</v>
      </c>
      <c r="C2" s="2">
        <v>32</v>
      </c>
      <c r="D2" t="s">
        <v>8</v>
      </c>
      <c r="E2" t="s">
        <v>142</v>
      </c>
      <c r="F2" t="s">
        <v>34</v>
      </c>
      <c r="G2" t="s">
        <v>135</v>
      </c>
      <c r="H2" t="s">
        <v>35</v>
      </c>
      <c r="I2">
        <v>4553</v>
      </c>
    </row>
    <row r="3" spans="1:9" x14ac:dyDescent="0.35">
      <c r="A3">
        <v>2</v>
      </c>
      <c r="B3" t="s">
        <v>36</v>
      </c>
      <c r="C3" s="2">
        <v>28</v>
      </c>
      <c r="D3" t="s">
        <v>12</v>
      </c>
      <c r="E3" t="s">
        <v>143</v>
      </c>
      <c r="F3" t="s">
        <v>37</v>
      </c>
      <c r="G3" t="s">
        <v>136</v>
      </c>
      <c r="H3" t="s">
        <v>38</v>
      </c>
      <c r="I3">
        <v>31169</v>
      </c>
    </row>
    <row r="4" spans="1:9" x14ac:dyDescent="0.35">
      <c r="A4">
        <v>3</v>
      </c>
      <c r="B4" t="s">
        <v>39</v>
      </c>
      <c r="C4" s="2">
        <v>27</v>
      </c>
      <c r="D4" t="s">
        <v>8</v>
      </c>
      <c r="E4" t="s">
        <v>143</v>
      </c>
      <c r="F4" t="s">
        <v>40</v>
      </c>
      <c r="G4" t="s">
        <v>137</v>
      </c>
      <c r="H4" t="s">
        <v>41</v>
      </c>
      <c r="I4">
        <v>11116</v>
      </c>
    </row>
    <row r="5" spans="1:9" x14ac:dyDescent="0.35">
      <c r="A5">
        <v>4</v>
      </c>
      <c r="B5" t="s">
        <v>42</v>
      </c>
      <c r="C5" s="2">
        <v>33</v>
      </c>
      <c r="D5" t="s">
        <v>12</v>
      </c>
      <c r="E5" t="s">
        <v>141</v>
      </c>
      <c r="F5" t="s">
        <v>43</v>
      </c>
      <c r="G5" t="s">
        <v>138</v>
      </c>
      <c r="H5" t="s">
        <v>44</v>
      </c>
      <c r="I5">
        <v>33457</v>
      </c>
    </row>
    <row r="6" spans="1:9" x14ac:dyDescent="0.35">
      <c r="A6">
        <v>5</v>
      </c>
      <c r="B6" t="s">
        <v>152</v>
      </c>
      <c r="C6" s="2">
        <v>29</v>
      </c>
      <c r="D6" t="s">
        <v>12</v>
      </c>
      <c r="E6" t="s">
        <v>141</v>
      </c>
      <c r="F6" t="s">
        <v>45</v>
      </c>
      <c r="G6" t="s">
        <v>158</v>
      </c>
      <c r="H6" t="s">
        <v>159</v>
      </c>
      <c r="I6">
        <v>21918</v>
      </c>
    </row>
    <row r="7" spans="1:9" x14ac:dyDescent="0.35">
      <c r="A7">
        <v>6</v>
      </c>
      <c r="B7" t="s">
        <v>46</v>
      </c>
      <c r="C7" s="2">
        <v>34</v>
      </c>
      <c r="D7" t="s">
        <v>8</v>
      </c>
      <c r="E7" t="s">
        <v>146</v>
      </c>
      <c r="F7" t="s">
        <v>47</v>
      </c>
      <c r="G7" t="s">
        <v>158</v>
      </c>
      <c r="H7" t="s">
        <v>48</v>
      </c>
      <c r="I7">
        <v>33418</v>
      </c>
    </row>
    <row r="8" spans="1:9" x14ac:dyDescent="0.35">
      <c r="A8">
        <v>7</v>
      </c>
      <c r="B8" t="s">
        <v>49</v>
      </c>
      <c r="C8" s="2">
        <v>25</v>
      </c>
      <c r="D8" t="s">
        <v>12</v>
      </c>
      <c r="E8" t="s">
        <v>143</v>
      </c>
      <c r="F8" t="s">
        <v>160</v>
      </c>
      <c r="G8" t="s">
        <v>139</v>
      </c>
      <c r="H8" t="s">
        <v>50</v>
      </c>
      <c r="I8">
        <v>45828</v>
      </c>
    </row>
    <row r="9" spans="1:9" x14ac:dyDescent="0.35">
      <c r="A9">
        <v>8</v>
      </c>
      <c r="B9" t="s">
        <v>51</v>
      </c>
      <c r="C9" s="2">
        <v>31</v>
      </c>
      <c r="D9" t="s">
        <v>8</v>
      </c>
      <c r="E9" t="s">
        <v>141</v>
      </c>
      <c r="F9" t="s">
        <v>52</v>
      </c>
      <c r="G9" t="s">
        <v>155</v>
      </c>
      <c r="H9" t="s">
        <v>159</v>
      </c>
      <c r="I9">
        <v>45450</v>
      </c>
    </row>
    <row r="10" spans="1:9" x14ac:dyDescent="0.35">
      <c r="A10">
        <v>9</v>
      </c>
      <c r="B10" t="s">
        <v>53</v>
      </c>
      <c r="C10" s="2">
        <v>27</v>
      </c>
      <c r="D10" t="s">
        <v>12</v>
      </c>
      <c r="E10" t="s">
        <v>141</v>
      </c>
      <c r="F10" t="s">
        <v>54</v>
      </c>
      <c r="G10" t="s">
        <v>156</v>
      </c>
      <c r="H10" t="s">
        <v>55</v>
      </c>
      <c r="I10">
        <v>49938</v>
      </c>
    </row>
    <row r="11" spans="1:9" x14ac:dyDescent="0.35">
      <c r="A11">
        <v>10</v>
      </c>
      <c r="B11" t="s">
        <v>161</v>
      </c>
      <c r="C11" s="2">
        <v>35</v>
      </c>
      <c r="D11" t="s">
        <v>8</v>
      </c>
      <c r="E11" t="s">
        <v>142</v>
      </c>
      <c r="F11" t="s">
        <v>56</v>
      </c>
      <c r="G11" t="s">
        <v>158</v>
      </c>
      <c r="H11" t="s">
        <v>57</v>
      </c>
      <c r="I11">
        <v>9818</v>
      </c>
    </row>
    <row r="12" spans="1:9" x14ac:dyDescent="0.35">
      <c r="A12">
        <v>11</v>
      </c>
      <c r="B12" t="s">
        <v>58</v>
      </c>
      <c r="C12" s="2">
        <v>29.636363636363637</v>
      </c>
      <c r="D12" t="s">
        <v>12</v>
      </c>
      <c r="E12" t="s">
        <v>143</v>
      </c>
      <c r="F12" t="s">
        <v>59</v>
      </c>
      <c r="G12" t="s">
        <v>147</v>
      </c>
      <c r="H12" t="s">
        <v>60</v>
      </c>
      <c r="I12">
        <v>41836</v>
      </c>
    </row>
    <row r="13" spans="1:9" x14ac:dyDescent="0.35">
      <c r="A13">
        <v>12</v>
      </c>
      <c r="B13" t="s">
        <v>61</v>
      </c>
      <c r="C13" s="2">
        <v>29</v>
      </c>
      <c r="D13" t="s">
        <v>8</v>
      </c>
      <c r="E13" t="s">
        <v>143</v>
      </c>
      <c r="F13" t="s">
        <v>62</v>
      </c>
      <c r="G13" t="s">
        <v>138</v>
      </c>
      <c r="H13" t="s">
        <v>63</v>
      </c>
      <c r="I13">
        <v>11901</v>
      </c>
    </row>
    <row r="14" spans="1:9" x14ac:dyDescent="0.35">
      <c r="A14">
        <v>13</v>
      </c>
      <c r="B14" t="s">
        <v>64</v>
      </c>
      <c r="C14" s="2">
        <v>28</v>
      </c>
      <c r="D14" t="s">
        <v>12</v>
      </c>
      <c r="E14" t="s">
        <v>144</v>
      </c>
      <c r="F14" t="s">
        <v>65</v>
      </c>
      <c r="G14" t="s">
        <v>158</v>
      </c>
      <c r="H14" t="s">
        <v>66</v>
      </c>
      <c r="I14">
        <v>21978</v>
      </c>
    </row>
    <row r="15" spans="1:9" x14ac:dyDescent="0.35">
      <c r="A15">
        <v>14</v>
      </c>
      <c r="B15" t="s">
        <v>162</v>
      </c>
      <c r="C15" s="2">
        <v>30</v>
      </c>
      <c r="D15" t="s">
        <v>12</v>
      </c>
      <c r="E15" t="s">
        <v>145</v>
      </c>
      <c r="F15" t="s">
        <v>67</v>
      </c>
      <c r="G15" t="s">
        <v>155</v>
      </c>
      <c r="H15" t="s">
        <v>159</v>
      </c>
      <c r="I15">
        <v>49400</v>
      </c>
    </row>
    <row r="16" spans="1:9" x14ac:dyDescent="0.35">
      <c r="A16">
        <v>15</v>
      </c>
      <c r="B16" t="s">
        <v>68</v>
      </c>
      <c r="C16" s="2">
        <v>32</v>
      </c>
      <c r="D16" t="s">
        <v>8</v>
      </c>
      <c r="E16" t="s">
        <v>153</v>
      </c>
      <c r="F16" t="s">
        <v>69</v>
      </c>
      <c r="G16" t="s">
        <v>135</v>
      </c>
      <c r="H16" t="s">
        <v>70</v>
      </c>
      <c r="I16">
        <v>28476</v>
      </c>
    </row>
    <row r="17" spans="1:9" x14ac:dyDescent="0.35">
      <c r="A17">
        <v>16</v>
      </c>
      <c r="B17" t="s">
        <v>71</v>
      </c>
      <c r="C17" s="2">
        <v>26</v>
      </c>
      <c r="D17" t="s">
        <v>12</v>
      </c>
      <c r="E17" t="s">
        <v>146</v>
      </c>
      <c r="F17" t="s">
        <v>72</v>
      </c>
      <c r="G17" t="s">
        <v>137</v>
      </c>
      <c r="H17" t="s">
        <v>159</v>
      </c>
      <c r="I17">
        <v>40088</v>
      </c>
    </row>
    <row r="18" spans="1:9" x14ac:dyDescent="0.35">
      <c r="A18">
        <v>17</v>
      </c>
      <c r="B18" t="s">
        <v>7</v>
      </c>
      <c r="C18" s="2">
        <v>28</v>
      </c>
      <c r="D18" t="s">
        <v>8</v>
      </c>
      <c r="E18" t="s">
        <v>146</v>
      </c>
      <c r="F18" t="s">
        <v>9</v>
      </c>
      <c r="G18" t="s">
        <v>136</v>
      </c>
      <c r="H18" t="s">
        <v>10</v>
      </c>
      <c r="I18">
        <v>2949</v>
      </c>
    </row>
    <row r="19" spans="1:9" x14ac:dyDescent="0.35">
      <c r="A19">
        <v>18</v>
      </c>
      <c r="B19" t="s">
        <v>11</v>
      </c>
      <c r="C19" s="2">
        <v>30</v>
      </c>
      <c r="D19" t="s">
        <v>12</v>
      </c>
      <c r="E19" t="s">
        <v>146</v>
      </c>
      <c r="F19" t="s">
        <v>13</v>
      </c>
      <c r="G19" t="s">
        <v>138</v>
      </c>
      <c r="H19" t="s">
        <v>14</v>
      </c>
      <c r="I19">
        <v>3337</v>
      </c>
    </row>
    <row r="20" spans="1:9" x14ac:dyDescent="0.35">
      <c r="A20">
        <v>19</v>
      </c>
      <c r="B20" t="s">
        <v>163</v>
      </c>
      <c r="C20" s="2">
        <v>32</v>
      </c>
      <c r="D20" t="s">
        <v>8</v>
      </c>
      <c r="E20" t="s">
        <v>145</v>
      </c>
      <c r="F20" t="s">
        <v>15</v>
      </c>
      <c r="G20" t="s">
        <v>139</v>
      </c>
      <c r="H20" t="s">
        <v>159</v>
      </c>
      <c r="I20">
        <v>2857</v>
      </c>
    </row>
    <row r="21" spans="1:9" x14ac:dyDescent="0.35">
      <c r="A21">
        <v>20</v>
      </c>
      <c r="B21" t="s">
        <v>16</v>
      </c>
      <c r="C21" s="2">
        <v>26</v>
      </c>
      <c r="D21" t="s">
        <v>12</v>
      </c>
      <c r="E21" t="s">
        <v>153</v>
      </c>
      <c r="F21" t="s">
        <v>17</v>
      </c>
      <c r="G21" t="s">
        <v>158</v>
      </c>
      <c r="H21" t="s">
        <v>18</v>
      </c>
      <c r="I21">
        <v>35969</v>
      </c>
    </row>
    <row r="22" spans="1:9" x14ac:dyDescent="0.35">
      <c r="A22">
        <v>21</v>
      </c>
      <c r="B22" t="s">
        <v>19</v>
      </c>
      <c r="C22" s="2">
        <v>33</v>
      </c>
      <c r="D22" t="s">
        <v>8</v>
      </c>
      <c r="E22" t="s">
        <v>146</v>
      </c>
      <c r="F22" t="s">
        <v>20</v>
      </c>
      <c r="G22" t="s">
        <v>155</v>
      </c>
      <c r="H22" t="s">
        <v>21</v>
      </c>
      <c r="I22">
        <v>49681</v>
      </c>
    </row>
    <row r="23" spans="1:9" x14ac:dyDescent="0.35">
      <c r="A23">
        <v>22</v>
      </c>
      <c r="B23" t="s">
        <v>22</v>
      </c>
      <c r="C23" s="2">
        <v>29</v>
      </c>
      <c r="D23" t="s">
        <v>8</v>
      </c>
      <c r="E23" t="s">
        <v>142</v>
      </c>
      <c r="F23" t="s">
        <v>23</v>
      </c>
      <c r="G23" t="s">
        <v>147</v>
      </c>
      <c r="H23" t="s">
        <v>159</v>
      </c>
      <c r="I23">
        <v>15853</v>
      </c>
    </row>
    <row r="24" spans="1:9" x14ac:dyDescent="0.35">
      <c r="A24">
        <v>23</v>
      </c>
      <c r="B24" t="s">
        <v>24</v>
      </c>
      <c r="C24" s="2">
        <v>29.636363636363637</v>
      </c>
      <c r="D24" t="s">
        <v>12</v>
      </c>
      <c r="E24" t="s">
        <v>143</v>
      </c>
      <c r="F24" t="s">
        <v>25</v>
      </c>
      <c r="G24" t="s">
        <v>138</v>
      </c>
      <c r="H24" t="s">
        <v>26</v>
      </c>
      <c r="I24">
        <v>6926</v>
      </c>
    </row>
    <row r="25" spans="1:9" x14ac:dyDescent="0.35">
      <c r="A25">
        <v>24</v>
      </c>
      <c r="B25" t="s">
        <v>27</v>
      </c>
      <c r="C25" s="2">
        <v>31</v>
      </c>
      <c r="D25" t="s">
        <v>8</v>
      </c>
      <c r="E25" t="s">
        <v>145</v>
      </c>
      <c r="F25" t="s">
        <v>28</v>
      </c>
      <c r="G25" t="s">
        <v>158</v>
      </c>
      <c r="H25" t="s">
        <v>29</v>
      </c>
      <c r="I25">
        <v>45678</v>
      </c>
    </row>
    <row r="26" spans="1:9" x14ac:dyDescent="0.35">
      <c r="A26">
        <v>25</v>
      </c>
      <c r="B26" t="s">
        <v>30</v>
      </c>
      <c r="C26" s="2">
        <v>28</v>
      </c>
      <c r="D26" t="s">
        <v>12</v>
      </c>
      <c r="E26" t="s">
        <v>153</v>
      </c>
      <c r="F26" t="s">
        <v>31</v>
      </c>
      <c r="G26" t="s">
        <v>156</v>
      </c>
      <c r="H26" t="s">
        <v>32</v>
      </c>
      <c r="I26">
        <v>8022</v>
      </c>
    </row>
    <row r="27" spans="1:9" x14ac:dyDescent="0.35">
      <c r="A27">
        <v>26</v>
      </c>
      <c r="B27" t="s">
        <v>73</v>
      </c>
      <c r="C27" s="2">
        <v>34</v>
      </c>
      <c r="D27" t="s">
        <v>8</v>
      </c>
      <c r="E27" t="s">
        <v>146</v>
      </c>
      <c r="F27" t="s">
        <v>74</v>
      </c>
      <c r="G27" t="s">
        <v>155</v>
      </c>
      <c r="H27" t="s">
        <v>75</v>
      </c>
      <c r="I27">
        <v>3484</v>
      </c>
    </row>
    <row r="28" spans="1:9" x14ac:dyDescent="0.35">
      <c r="A28">
        <v>27</v>
      </c>
      <c r="B28" t="s">
        <v>76</v>
      </c>
      <c r="C28" s="2">
        <v>26</v>
      </c>
      <c r="D28" t="s">
        <v>12</v>
      </c>
      <c r="E28" t="s">
        <v>143</v>
      </c>
      <c r="F28" t="s">
        <v>77</v>
      </c>
      <c r="G28" t="s">
        <v>156</v>
      </c>
      <c r="H28" t="s">
        <v>78</v>
      </c>
      <c r="I28">
        <v>11342</v>
      </c>
    </row>
    <row r="29" spans="1:9" x14ac:dyDescent="0.35">
      <c r="A29">
        <v>28</v>
      </c>
      <c r="B29" t="s">
        <v>164</v>
      </c>
      <c r="C29" s="2">
        <v>29</v>
      </c>
      <c r="D29" t="s">
        <v>8</v>
      </c>
      <c r="E29" t="s">
        <v>141</v>
      </c>
      <c r="F29" t="s">
        <v>79</v>
      </c>
      <c r="G29" t="s">
        <v>158</v>
      </c>
      <c r="H29" t="s">
        <v>80</v>
      </c>
      <c r="I29">
        <v>40940</v>
      </c>
    </row>
    <row r="30" spans="1:9" x14ac:dyDescent="0.35">
      <c r="A30">
        <v>29</v>
      </c>
      <c r="B30" t="s">
        <v>53</v>
      </c>
      <c r="C30" s="2">
        <v>27</v>
      </c>
      <c r="D30" t="s">
        <v>12</v>
      </c>
      <c r="E30" t="s">
        <v>141</v>
      </c>
      <c r="F30" t="s">
        <v>81</v>
      </c>
      <c r="G30" t="s">
        <v>138</v>
      </c>
      <c r="H30" t="s">
        <v>159</v>
      </c>
      <c r="I30">
        <v>41841</v>
      </c>
    </row>
    <row r="31" spans="1:9" x14ac:dyDescent="0.35">
      <c r="A31">
        <v>30</v>
      </c>
      <c r="B31" t="s">
        <v>82</v>
      </c>
      <c r="C31" s="2">
        <v>32</v>
      </c>
      <c r="D31" t="s">
        <v>8</v>
      </c>
      <c r="E31" t="s">
        <v>145</v>
      </c>
      <c r="F31" t="s">
        <v>83</v>
      </c>
      <c r="G31" t="s">
        <v>158</v>
      </c>
      <c r="H31" t="s">
        <v>84</v>
      </c>
      <c r="I31">
        <v>39835</v>
      </c>
    </row>
    <row r="32" spans="1:9" x14ac:dyDescent="0.35">
      <c r="A32">
        <v>31</v>
      </c>
      <c r="B32" t="s">
        <v>165</v>
      </c>
      <c r="C32" s="2">
        <v>33</v>
      </c>
      <c r="D32" t="s">
        <v>12</v>
      </c>
      <c r="E32" t="s">
        <v>153</v>
      </c>
      <c r="F32" t="s">
        <v>85</v>
      </c>
      <c r="G32" t="s">
        <v>147</v>
      </c>
      <c r="H32" t="s">
        <v>86</v>
      </c>
      <c r="I32">
        <v>9577</v>
      </c>
    </row>
    <row r="33" spans="1:9" x14ac:dyDescent="0.35">
      <c r="A33">
        <v>32</v>
      </c>
      <c r="B33" t="s">
        <v>87</v>
      </c>
      <c r="C33" s="2">
        <v>30</v>
      </c>
      <c r="D33" t="s">
        <v>8</v>
      </c>
      <c r="E33" t="s">
        <v>146</v>
      </c>
      <c r="F33" t="s">
        <v>88</v>
      </c>
      <c r="G33" t="s">
        <v>158</v>
      </c>
      <c r="H33" t="s">
        <v>89</v>
      </c>
      <c r="I33">
        <v>29480</v>
      </c>
    </row>
    <row r="34" spans="1:9" x14ac:dyDescent="0.35">
      <c r="A34">
        <v>33</v>
      </c>
      <c r="B34" t="s">
        <v>90</v>
      </c>
      <c r="C34" s="2">
        <v>29.636363636363637</v>
      </c>
      <c r="D34" t="s">
        <v>12</v>
      </c>
      <c r="E34" t="s">
        <v>143</v>
      </c>
      <c r="F34" t="s">
        <v>91</v>
      </c>
      <c r="G34" t="s">
        <v>138</v>
      </c>
      <c r="H34" t="s">
        <v>92</v>
      </c>
      <c r="I34">
        <v>14254</v>
      </c>
    </row>
    <row r="35" spans="1:9" x14ac:dyDescent="0.35">
      <c r="A35">
        <v>34</v>
      </c>
      <c r="B35" t="s">
        <v>93</v>
      </c>
      <c r="C35" s="2">
        <v>29</v>
      </c>
      <c r="D35" t="s">
        <v>8</v>
      </c>
      <c r="E35" t="s">
        <v>141</v>
      </c>
      <c r="F35" t="s">
        <v>94</v>
      </c>
      <c r="G35" t="s">
        <v>156</v>
      </c>
      <c r="H35" t="s">
        <v>95</v>
      </c>
      <c r="I35">
        <v>37358</v>
      </c>
    </row>
    <row r="36" spans="1:9" x14ac:dyDescent="0.35">
      <c r="A36">
        <v>35</v>
      </c>
      <c r="B36" t="s">
        <v>166</v>
      </c>
      <c r="C36" s="2">
        <v>31</v>
      </c>
      <c r="D36" t="s">
        <v>12</v>
      </c>
      <c r="E36" t="s">
        <v>141</v>
      </c>
      <c r="F36" t="s">
        <v>96</v>
      </c>
      <c r="G36" t="s">
        <v>158</v>
      </c>
      <c r="H36" t="s">
        <v>97</v>
      </c>
      <c r="I36">
        <v>48367</v>
      </c>
    </row>
    <row r="37" spans="1:9" x14ac:dyDescent="0.35">
      <c r="A37">
        <v>36</v>
      </c>
      <c r="B37" t="s">
        <v>98</v>
      </c>
      <c r="C37" s="2">
        <v>28</v>
      </c>
      <c r="D37" t="s">
        <v>8</v>
      </c>
      <c r="E37" t="s">
        <v>144</v>
      </c>
      <c r="F37" t="s">
        <v>99</v>
      </c>
      <c r="G37" t="s">
        <v>155</v>
      </c>
      <c r="H37" t="s">
        <v>100</v>
      </c>
      <c r="I37">
        <v>37473</v>
      </c>
    </row>
    <row r="38" spans="1:9" x14ac:dyDescent="0.35">
      <c r="A38">
        <v>37</v>
      </c>
      <c r="B38" t="s">
        <v>101</v>
      </c>
      <c r="C38" s="2">
        <v>33</v>
      </c>
      <c r="D38" t="s">
        <v>12</v>
      </c>
      <c r="E38" t="s">
        <v>144</v>
      </c>
      <c r="F38" t="s">
        <v>102</v>
      </c>
      <c r="G38" t="s">
        <v>139</v>
      </c>
      <c r="H38" t="s">
        <v>103</v>
      </c>
      <c r="I38">
        <v>30628</v>
      </c>
    </row>
    <row r="39" spans="1:9" x14ac:dyDescent="0.35">
      <c r="A39">
        <v>38</v>
      </c>
      <c r="B39" t="s">
        <v>104</v>
      </c>
      <c r="C39" s="2">
        <v>30</v>
      </c>
      <c r="D39" t="s">
        <v>8</v>
      </c>
      <c r="E39" t="s">
        <v>142</v>
      </c>
      <c r="F39" t="s">
        <v>105</v>
      </c>
      <c r="G39" t="s">
        <v>158</v>
      </c>
      <c r="H39" t="s">
        <v>106</v>
      </c>
      <c r="I39">
        <v>22018</v>
      </c>
    </row>
    <row r="40" spans="1:9" x14ac:dyDescent="0.35">
      <c r="A40">
        <v>39</v>
      </c>
      <c r="B40" t="s">
        <v>107</v>
      </c>
      <c r="C40" s="2">
        <v>27</v>
      </c>
      <c r="D40" t="s">
        <v>12</v>
      </c>
      <c r="E40" t="s">
        <v>146</v>
      </c>
      <c r="F40" t="s">
        <v>108</v>
      </c>
      <c r="G40" t="s">
        <v>156</v>
      </c>
      <c r="H40" t="s">
        <v>109</v>
      </c>
      <c r="I40">
        <v>35747</v>
      </c>
    </row>
    <row r="41" spans="1:9" x14ac:dyDescent="0.35">
      <c r="A41">
        <v>40</v>
      </c>
      <c r="B41" t="s">
        <v>110</v>
      </c>
      <c r="C41" s="2">
        <v>29</v>
      </c>
      <c r="D41" t="s">
        <v>8</v>
      </c>
      <c r="E41" t="s">
        <v>141</v>
      </c>
      <c r="F41" t="s">
        <v>111</v>
      </c>
      <c r="G41" t="s">
        <v>158</v>
      </c>
      <c r="H41" t="s">
        <v>112</v>
      </c>
      <c r="I41">
        <v>32258</v>
      </c>
    </row>
    <row r="42" spans="1:9" x14ac:dyDescent="0.35">
      <c r="A42">
        <v>41</v>
      </c>
      <c r="B42" t="s">
        <v>113</v>
      </c>
      <c r="C42" s="2">
        <v>26</v>
      </c>
      <c r="D42" t="s">
        <v>12</v>
      </c>
      <c r="E42" t="s">
        <v>145</v>
      </c>
      <c r="F42" t="s">
        <v>114</v>
      </c>
      <c r="G42" t="s">
        <v>138</v>
      </c>
      <c r="H42" t="s">
        <v>115</v>
      </c>
      <c r="I42">
        <v>31047</v>
      </c>
    </row>
    <row r="43" spans="1:9" x14ac:dyDescent="0.35">
      <c r="A43">
        <v>42</v>
      </c>
      <c r="B43" t="s">
        <v>167</v>
      </c>
      <c r="C43" s="2">
        <v>28</v>
      </c>
      <c r="D43" t="s">
        <v>8</v>
      </c>
      <c r="E43" t="s">
        <v>153</v>
      </c>
      <c r="F43" t="s">
        <v>116</v>
      </c>
      <c r="G43" t="s">
        <v>158</v>
      </c>
      <c r="H43" t="s">
        <v>117</v>
      </c>
      <c r="I43">
        <v>31064</v>
      </c>
    </row>
    <row r="44" spans="1:9" x14ac:dyDescent="0.35">
      <c r="A44">
        <v>43</v>
      </c>
      <c r="B44" t="s">
        <v>118</v>
      </c>
      <c r="C44" s="2">
        <v>31</v>
      </c>
      <c r="D44" t="s">
        <v>8</v>
      </c>
      <c r="E44" t="s">
        <v>146</v>
      </c>
      <c r="F44" t="s">
        <v>119</v>
      </c>
      <c r="G44" t="s">
        <v>155</v>
      </c>
      <c r="H44" t="s">
        <v>159</v>
      </c>
      <c r="I44">
        <v>3108</v>
      </c>
    </row>
    <row r="45" spans="1:9" x14ac:dyDescent="0.35">
      <c r="A45">
        <v>44</v>
      </c>
      <c r="B45" t="s">
        <v>120</v>
      </c>
      <c r="C45" s="2">
        <v>27</v>
      </c>
      <c r="D45" t="s">
        <v>12</v>
      </c>
      <c r="E45" t="s">
        <v>144</v>
      </c>
      <c r="F45" t="s">
        <v>121</v>
      </c>
      <c r="G45" t="s">
        <v>156</v>
      </c>
      <c r="H45" t="s">
        <v>122</v>
      </c>
      <c r="I45">
        <v>20205</v>
      </c>
    </row>
    <row r="46" spans="1:9" x14ac:dyDescent="0.35">
      <c r="A46">
        <v>45</v>
      </c>
      <c r="B46" t="s">
        <v>151</v>
      </c>
      <c r="C46" s="2">
        <v>29</v>
      </c>
      <c r="D46" t="s">
        <v>8</v>
      </c>
      <c r="E46" t="s">
        <v>144</v>
      </c>
      <c r="F46" t="s">
        <v>123</v>
      </c>
      <c r="G46" t="s">
        <v>158</v>
      </c>
      <c r="H46" t="s">
        <v>124</v>
      </c>
      <c r="I46">
        <v>8746</v>
      </c>
    </row>
    <row r="47" spans="1:9" x14ac:dyDescent="0.35">
      <c r="A47">
        <v>46</v>
      </c>
      <c r="B47" t="s">
        <v>125</v>
      </c>
      <c r="C47" s="2">
        <v>32</v>
      </c>
      <c r="D47" t="s">
        <v>12</v>
      </c>
      <c r="E47" t="s">
        <v>143</v>
      </c>
      <c r="F47" t="s">
        <v>126</v>
      </c>
      <c r="G47" t="s">
        <v>147</v>
      </c>
      <c r="H47" t="s">
        <v>127</v>
      </c>
      <c r="I47">
        <v>15531</v>
      </c>
    </row>
    <row r="48" spans="1:9" x14ac:dyDescent="0.35">
      <c r="A48">
        <v>47</v>
      </c>
      <c r="B48" t="s">
        <v>128</v>
      </c>
      <c r="C48" s="2">
        <v>29.636363636363637</v>
      </c>
      <c r="D48" t="s">
        <v>8</v>
      </c>
      <c r="E48" t="s">
        <v>141</v>
      </c>
      <c r="F48" t="s">
        <v>129</v>
      </c>
      <c r="G48" t="s">
        <v>138</v>
      </c>
      <c r="H48" t="s">
        <v>130</v>
      </c>
      <c r="I48">
        <v>23055</v>
      </c>
    </row>
    <row r="49" spans="1:9" x14ac:dyDescent="0.35">
      <c r="A49">
        <v>48</v>
      </c>
      <c r="B49" t="s">
        <v>131</v>
      </c>
      <c r="C49" s="2">
        <v>30</v>
      </c>
      <c r="D49" t="s">
        <v>12</v>
      </c>
      <c r="E49" t="s">
        <v>141</v>
      </c>
      <c r="F49" t="s">
        <v>132</v>
      </c>
      <c r="G49" t="s">
        <v>158</v>
      </c>
      <c r="H49" t="s">
        <v>133</v>
      </c>
      <c r="I49">
        <v>18647</v>
      </c>
    </row>
  </sheetData>
  <conditionalFormatting sqref="A2:I49">
    <cfRule type="top10" dxfId="3" priority="9" rank="10"/>
  </conditionalFormatting>
  <conditionalFormatting sqref="B1:B1048576">
    <cfRule type="expression" dxfId="2" priority="1">
      <formula>RANK($I$2,$I$2:$I$49)&lt;=10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final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Soham Rikame</cp:lastModifiedBy>
  <dcterms:created xsi:type="dcterms:W3CDTF">2023-04-26T07:21:03Z</dcterms:created>
  <dcterms:modified xsi:type="dcterms:W3CDTF">2024-10-04T16:13:14Z</dcterms:modified>
</cp:coreProperties>
</file>